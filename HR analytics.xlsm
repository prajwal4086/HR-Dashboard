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HP\Desktop\imprortant excel\"/>
    </mc:Choice>
  </mc:AlternateContent>
  <xr:revisionPtr revIDLastSave="0" documentId="13_ncr:1_{708FF9AF-8C56-4F53-972D-374683A5C882}" xr6:coauthVersionLast="47" xr6:coauthVersionMax="47" xr10:uidLastSave="{00000000-0000-0000-0000-000000000000}"/>
  <bookViews>
    <workbookView xWindow="-108" yWindow="-108" windowWidth="23256" windowHeight="13176" activeTab="1" xr2:uid="{24ADA2CA-19E0-4F8A-B6D9-8D952DA4A3FC}"/>
  </bookViews>
  <sheets>
    <sheet name="HR Dashboard" sheetId="2" r:id="rId1"/>
    <sheet name="Dark Mood" sheetId="5" r:id="rId2"/>
    <sheet name="Pivot" sheetId="3" r:id="rId3"/>
    <sheet name="Emp Data" sheetId="1" r:id="rId4"/>
  </sheets>
  <definedNames>
    <definedName name="_xlchart.v2.0" hidden="1">Pivot!$W$15:$W$21</definedName>
    <definedName name="_xlchart.v2.1" hidden="1">Pivot!$X$14</definedName>
    <definedName name="_xlchart.v2.2" hidden="1">Pivot!$X$15:$X$21</definedName>
    <definedName name="_xlchart.v2.3" hidden="1">Pivot!$W$15:$W$21</definedName>
    <definedName name="_xlchart.v2.4" hidden="1">Pivot!$X$14</definedName>
    <definedName name="_xlchart.v2.5" hidden="1">Pivot!$X$15:$X$21</definedName>
    <definedName name="Slicer_Department">#N/A</definedName>
    <definedName name="Slicer_Reporting_Manager">#N/A</definedName>
  </definedNames>
  <calcPr calcId="191029"/>
  <pivotCaches>
    <pivotCache cacheId="77"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72" i="1" l="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22" i="1"/>
  <c r="O22" i="1"/>
  <c r="P21" i="1"/>
  <c r="O21" i="1"/>
  <c r="P20" i="1"/>
  <c r="O20" i="1"/>
  <c r="P19" i="1"/>
  <c r="O19" i="1"/>
  <c r="P18" i="1"/>
  <c r="O18" i="1"/>
  <c r="P17" i="1"/>
  <c r="O17" i="1"/>
  <c r="P16" i="1"/>
  <c r="O16" i="1"/>
  <c r="P15" i="1"/>
  <c r="O15" i="1"/>
  <c r="P14" i="1"/>
  <c r="O14" i="1"/>
  <c r="P13" i="1"/>
  <c r="O13" i="1"/>
  <c r="P12" i="1"/>
  <c r="O12" i="1"/>
  <c r="P11" i="1"/>
  <c r="O11" i="1"/>
  <c r="P10" i="1"/>
  <c r="O10" i="1"/>
  <c r="P9" i="1"/>
  <c r="O9" i="1"/>
  <c r="P8" i="1"/>
  <c r="O8" i="1"/>
  <c r="P7" i="1"/>
  <c r="O7" i="1"/>
  <c r="P6" i="1"/>
  <c r="O6" i="1"/>
  <c r="P5" i="1"/>
  <c r="O5" i="1"/>
  <c r="P4" i="1"/>
  <c r="O4" i="1"/>
  <c r="P3" i="1"/>
  <c r="O3" i="1"/>
  <c r="P2" i="1"/>
  <c r="O2" i="1"/>
  <c r="H16" i="3"/>
  <c r="P15" i="3"/>
  <c r="P17" i="3"/>
  <c r="T17" i="3"/>
  <c r="G18" i="3"/>
  <c r="T19" i="3"/>
  <c r="T15" i="3"/>
  <c r="L16" i="3"/>
  <c r="F17" i="3"/>
  <c r="P16" i="3"/>
  <c r="T20" i="3"/>
  <c r="G16" i="3"/>
  <c r="P18" i="3"/>
  <c r="G19" i="3"/>
  <c r="G20" i="3"/>
  <c r="AA15" i="3"/>
  <c r="AE17" i="3"/>
  <c r="AE16" i="3"/>
  <c r="AA16" i="3"/>
  <c r="H17" i="3"/>
  <c r="F15" i="3"/>
  <c r="T16" i="3"/>
  <c r="H20" i="3"/>
  <c r="H19" i="3"/>
  <c r="G17" i="3"/>
  <c r="AE19" i="3"/>
  <c r="AE18" i="3"/>
  <c r="AE20" i="3"/>
  <c r="H18" i="3"/>
  <c r="G15" i="3"/>
  <c r="T18" i="3"/>
  <c r="T21" i="3"/>
  <c r="H15" i="3"/>
  <c r="C15" i="3"/>
  <c r="L15" i="3"/>
  <c r="AE15" i="3"/>
  <c r="L17" i="3" l="1"/>
  <c r="M17" i="3" s="1"/>
  <c r="G21" i="3"/>
  <c r="C16" i="3" s="1"/>
  <c r="H21" i="3"/>
  <c r="C19" i="3" s="1"/>
  <c r="AE21" i="3"/>
  <c r="P19" i="3"/>
  <c r="Q18" i="3" s="1"/>
  <c r="T22" i="3"/>
  <c r="U22" i="3" s="1"/>
  <c r="X22" i="3"/>
  <c r="AA17" i="3"/>
  <c r="AB17" i="3" s="1"/>
  <c r="I15" i="3"/>
  <c r="I16" i="3" s="1"/>
  <c r="I17" i="3" s="1"/>
  <c r="I18" i="3" s="1"/>
  <c r="I19" i="3" s="1"/>
  <c r="I20" i="3" s="1"/>
  <c r="I21" i="3" s="1"/>
  <c r="F19" i="3"/>
  <c r="F18" i="3"/>
  <c r="F16" i="3"/>
  <c r="M16" i="3" l="1"/>
  <c r="M15" i="3"/>
  <c r="F21" i="3"/>
  <c r="C17" i="3" s="1"/>
  <c r="C18" i="3" s="1"/>
  <c r="U20" i="3"/>
  <c r="U18" i="3"/>
  <c r="U21" i="3"/>
  <c r="Q15" i="3"/>
  <c r="AB15" i="3"/>
  <c r="AF16" i="3"/>
  <c r="AF21" i="3"/>
  <c r="AF17" i="3"/>
  <c r="AF18" i="3"/>
  <c r="AF20" i="3"/>
  <c r="AF19" i="3"/>
  <c r="AF15" i="3"/>
  <c r="U19" i="3"/>
  <c r="AB16" i="3"/>
  <c r="Q17" i="3"/>
  <c r="U15" i="3"/>
  <c r="Q16" i="3"/>
  <c r="Q19" i="3"/>
  <c r="U16" i="3"/>
  <c r="U17" i="3"/>
</calcChain>
</file>

<file path=xl/sharedStrings.xml><?xml version="1.0" encoding="utf-8"?>
<sst xmlns="http://schemas.openxmlformats.org/spreadsheetml/2006/main" count="1566" uniqueCount="256">
  <si>
    <t>Emp Status</t>
  </si>
  <si>
    <t>Movement</t>
  </si>
  <si>
    <t>Emp Id</t>
  </si>
  <si>
    <t>Name</t>
  </si>
  <si>
    <t>Date of Joining</t>
  </si>
  <si>
    <t>Data of Relieving</t>
  </si>
  <si>
    <t>Reporting Manager</t>
  </si>
  <si>
    <t>Emp Type</t>
  </si>
  <si>
    <t>Category</t>
  </si>
  <si>
    <t>Date of Birth</t>
  </si>
  <si>
    <t>Marital status</t>
  </si>
  <si>
    <t>Grade</t>
  </si>
  <si>
    <t>Department</t>
  </si>
  <si>
    <t>Total Experience</t>
  </si>
  <si>
    <t>Year</t>
  </si>
  <si>
    <t>Stability</t>
  </si>
  <si>
    <t>On-Board</t>
  </si>
  <si>
    <t>IJP</t>
  </si>
  <si>
    <t>CT18807</t>
  </si>
  <si>
    <t>Adrian Odonnell</t>
  </si>
  <si>
    <t>Roberta Moyer</t>
  </si>
  <si>
    <t>Contract</t>
  </si>
  <si>
    <t>Male</t>
  </si>
  <si>
    <t>Single</t>
  </si>
  <si>
    <t>Operations</t>
  </si>
  <si>
    <t>Attrition</t>
  </si>
  <si>
    <t>CT12674</t>
  </si>
  <si>
    <t>Marina Velazquez</t>
  </si>
  <si>
    <t>Married</t>
  </si>
  <si>
    <t>Trainees</t>
  </si>
  <si>
    <t>Accounting</t>
  </si>
  <si>
    <t>CT11735</t>
  </si>
  <si>
    <t>Regina Schaefer</t>
  </si>
  <si>
    <t>CT10131</t>
  </si>
  <si>
    <t>Donna Sparks</t>
  </si>
  <si>
    <t>Legal</t>
  </si>
  <si>
    <t>CT16953</t>
  </si>
  <si>
    <t>Sal Glass</t>
  </si>
  <si>
    <t>Ryan Simmons</t>
  </si>
  <si>
    <t>Female</t>
  </si>
  <si>
    <t>Marketing</t>
  </si>
  <si>
    <t>CT11213</t>
  </si>
  <si>
    <t>Malik Schneider</t>
  </si>
  <si>
    <t>Darryl Leon</t>
  </si>
  <si>
    <t>Finance</t>
  </si>
  <si>
    <t>CT17933</t>
  </si>
  <si>
    <t>Fanny Hampton</t>
  </si>
  <si>
    <t>CT17253</t>
  </si>
  <si>
    <t>Edison York</t>
  </si>
  <si>
    <t>HR</t>
  </si>
  <si>
    <t>CT14693</t>
  </si>
  <si>
    <t>Geraldo Pugh</t>
  </si>
  <si>
    <t>Geneva Hardy</t>
  </si>
  <si>
    <t>CT11465</t>
  </si>
  <si>
    <t>Ellis Best</t>
  </si>
  <si>
    <t>CT12948</t>
  </si>
  <si>
    <t>Olen Walter</t>
  </si>
  <si>
    <t>Janelle Wiley</t>
  </si>
  <si>
    <t>CT11145</t>
  </si>
  <si>
    <t>Mckinley Baird</t>
  </si>
  <si>
    <t>CT18269</t>
  </si>
  <si>
    <t>Maura Huynh</t>
  </si>
  <si>
    <t>Sales</t>
  </si>
  <si>
    <t>CT13931</t>
  </si>
  <si>
    <t>Buster Joyce</t>
  </si>
  <si>
    <t>Alejandra Mack</t>
  </si>
  <si>
    <t>CT15252</t>
  </si>
  <si>
    <t>Rosanna Bauer</t>
  </si>
  <si>
    <t>CT13664</t>
  </si>
  <si>
    <t>Marion Harmon</t>
  </si>
  <si>
    <t>CT10043</t>
  </si>
  <si>
    <t>Shawn Ross</t>
  </si>
  <si>
    <t>CT16547</t>
  </si>
  <si>
    <t>Houston Wilson</t>
  </si>
  <si>
    <t>CT11188</t>
  </si>
  <si>
    <t>Maricela Gates</t>
  </si>
  <si>
    <t>CT14537</t>
  </si>
  <si>
    <t>Fletcher Tate</t>
  </si>
  <si>
    <t>CT14690</t>
  </si>
  <si>
    <t>Emily Davis</t>
  </si>
  <si>
    <t>Jefferson Perry</t>
  </si>
  <si>
    <t>CT16195</t>
  </si>
  <si>
    <t>Penelope Jordan</t>
  </si>
  <si>
    <t>CT16735</t>
  </si>
  <si>
    <t>Alfredo Mcclain</t>
  </si>
  <si>
    <t>Preston Case</t>
  </si>
  <si>
    <t>Permanent</t>
  </si>
  <si>
    <t>Branden Kaiser</t>
  </si>
  <si>
    <t>Julia Bell</t>
  </si>
  <si>
    <t>Management</t>
  </si>
  <si>
    <t>Sammy Hancock</t>
  </si>
  <si>
    <t>Mabel Cuevas</t>
  </si>
  <si>
    <t>Norris Madden</t>
  </si>
  <si>
    <t>Vincenzo Mcdowell</t>
  </si>
  <si>
    <t>Chris Mcbride</t>
  </si>
  <si>
    <t>Wesley Berger</t>
  </si>
  <si>
    <t>Bart Sims</t>
  </si>
  <si>
    <t>Professional</t>
  </si>
  <si>
    <t>Tricia Arroyo</t>
  </si>
  <si>
    <t>Kennith Barber</t>
  </si>
  <si>
    <t>Alonzo Harrison</t>
  </si>
  <si>
    <t>Kirk Wagner</t>
  </si>
  <si>
    <t>Zackary Tucker</t>
  </si>
  <si>
    <t>Roberto Ford</t>
  </si>
  <si>
    <t>Sadie Mcmahon</t>
  </si>
  <si>
    <t>Darla Parks</t>
  </si>
  <si>
    <t>Letitia Church</t>
  </si>
  <si>
    <t>Collin Paul</t>
  </si>
  <si>
    <t>Frances Leblanc</t>
  </si>
  <si>
    <t>Alexis Conway</t>
  </si>
  <si>
    <t>Chi Preston</t>
  </si>
  <si>
    <t>Randolph Reilly</t>
  </si>
  <si>
    <t>Howard Wiggins</t>
  </si>
  <si>
    <t>Palmer Hart</t>
  </si>
  <si>
    <t>Lesa Terrell</t>
  </si>
  <si>
    <t>Celeste Moses</t>
  </si>
  <si>
    <t>Leanne Mosley</t>
  </si>
  <si>
    <t>Renaldo Navarro</t>
  </si>
  <si>
    <t>Sonia Ortiz</t>
  </si>
  <si>
    <t>Faith Lopez</t>
  </si>
  <si>
    <t>Kim Ramirez</t>
  </si>
  <si>
    <t>Mariana Chavez</t>
  </si>
  <si>
    <t>Tracey Burch</t>
  </si>
  <si>
    <t>Gabriela Juarez</t>
  </si>
  <si>
    <t>Katheryn Trevino</t>
  </si>
  <si>
    <t>Angelita Townsend</t>
  </si>
  <si>
    <t>Damon Burgess</t>
  </si>
  <si>
    <t>Olen Watts</t>
  </si>
  <si>
    <t>Raymond Levine</t>
  </si>
  <si>
    <t>Sally Hinton</t>
  </si>
  <si>
    <t>Katelyn Ware</t>
  </si>
  <si>
    <t>Jessie Bowen</t>
  </si>
  <si>
    <t>Mac Marquez</t>
  </si>
  <si>
    <t>OnRoll</t>
  </si>
  <si>
    <t>Spencer Webb</t>
  </si>
  <si>
    <t>Valentin Mcdonald</t>
  </si>
  <si>
    <t>Transfer</t>
  </si>
  <si>
    <t>Royce Schneider</t>
  </si>
  <si>
    <t>Kara Mclean</t>
  </si>
  <si>
    <t>Damian Mckee</t>
  </si>
  <si>
    <t>Mohamed Duran</t>
  </si>
  <si>
    <t>Vera Harvey</t>
  </si>
  <si>
    <t>Cristina David</t>
  </si>
  <si>
    <t>Florence Randall</t>
  </si>
  <si>
    <t>Andrea Logan</t>
  </si>
  <si>
    <t>Barrett Wallace</t>
  </si>
  <si>
    <t>Claude Ramsey</t>
  </si>
  <si>
    <t>Mason Wells</t>
  </si>
  <si>
    <t>Whitney Vance</t>
  </si>
  <si>
    <t>Bobbie Harvey</t>
  </si>
  <si>
    <t>Russel Fox</t>
  </si>
  <si>
    <t>Benita Holland</t>
  </si>
  <si>
    <t>Cory Leblanc</t>
  </si>
  <si>
    <t>Isaiah George</t>
  </si>
  <si>
    <t>Brad Nichols</t>
  </si>
  <si>
    <t>Quentin Mcdonald</t>
  </si>
  <si>
    <t>Johnie Pruitt</t>
  </si>
  <si>
    <t>Walker Whitney</t>
  </si>
  <si>
    <t>Alexander Fowler</t>
  </si>
  <si>
    <t>Susanna Humphrey</t>
  </si>
  <si>
    <t>Beth Lowe</t>
  </si>
  <si>
    <t>Casandra Aguilar</t>
  </si>
  <si>
    <t>Lynn Andersen</t>
  </si>
  <si>
    <t>Leola Vega</t>
  </si>
  <si>
    <t>Hillary Spencer</t>
  </si>
  <si>
    <t>Joesph Jones</t>
  </si>
  <si>
    <t>Otha May</t>
  </si>
  <si>
    <t>Ophelia Black</t>
  </si>
  <si>
    <t>Helena Williamson</t>
  </si>
  <si>
    <t>Megan Kent</t>
  </si>
  <si>
    <t>Rufus Escobar</t>
  </si>
  <si>
    <t>Ericka Hurst</t>
  </si>
  <si>
    <t>Johnny Cisneros</t>
  </si>
  <si>
    <t>Alba Norton</t>
  </si>
  <si>
    <t>Sanford Patterson</t>
  </si>
  <si>
    <t>Blanche Greer</t>
  </si>
  <si>
    <t>Nita Powers</t>
  </si>
  <si>
    <t>Francesco Blanchard</t>
  </si>
  <si>
    <t>Elias Davis</t>
  </si>
  <si>
    <t>Lucio Christian</t>
  </si>
  <si>
    <t>Greg Schaefer</t>
  </si>
  <si>
    <t>Adriana Little</t>
  </si>
  <si>
    <t>Abdul Khan</t>
  </si>
  <si>
    <t>Marissa Mckee</t>
  </si>
  <si>
    <t>Ashlee Ortega</t>
  </si>
  <si>
    <t>Edmund Lawson</t>
  </si>
  <si>
    <t>Linda Jacobs</t>
  </si>
  <si>
    <t>Kelley Harding</t>
  </si>
  <si>
    <t>Rose Carney</t>
  </si>
  <si>
    <t>Emery Goodwin</t>
  </si>
  <si>
    <t>Derick Singh</t>
  </si>
  <si>
    <t>Hassan Wilcox</t>
  </si>
  <si>
    <t>Natalie Serrano</t>
  </si>
  <si>
    <t>Sandy Singleton</t>
  </si>
  <si>
    <t>Josiah Hart</t>
  </si>
  <si>
    <t>Wayne Hartman</t>
  </si>
  <si>
    <t>Sallie Carpenter</t>
  </si>
  <si>
    <t>Allen Walters</t>
  </si>
  <si>
    <t>Flora Bass</t>
  </si>
  <si>
    <t>Roberto Harper</t>
  </si>
  <si>
    <t>Isabella Miles</t>
  </si>
  <si>
    <t>Consuelo Beck</t>
  </si>
  <si>
    <t>Barney Velasquez</t>
  </si>
  <si>
    <t>Jamaal Delgado</t>
  </si>
  <si>
    <t>Glenda Ayers</t>
  </si>
  <si>
    <t>Vonda Chandler</t>
  </si>
  <si>
    <t>Elma Perkins</t>
  </si>
  <si>
    <t>Irving Good</t>
  </si>
  <si>
    <t>Carlo Stephens</t>
  </si>
  <si>
    <t>Fermin Maddox</t>
  </si>
  <si>
    <t>Wendell Bonilla</t>
  </si>
  <si>
    <t>Hank Copeland</t>
  </si>
  <si>
    <t>Luciano Arnold</t>
  </si>
  <si>
    <t>Aimee Freeman</t>
  </si>
  <si>
    <t>Jarrett Henson</t>
  </si>
  <si>
    <t>Garland Barber</t>
  </si>
  <si>
    <t>Filiberto Baird</t>
  </si>
  <si>
    <t>Reed Pena</t>
  </si>
  <si>
    <t>Cecile Garner</t>
  </si>
  <si>
    <t>Art Kim</t>
  </si>
  <si>
    <t>Grover Kramer</t>
  </si>
  <si>
    <t>Milan Pope</t>
  </si>
  <si>
    <t>Randal Mata</t>
  </si>
  <si>
    <t>Pete Arroyo</t>
  </si>
  <si>
    <t>Luna Sanders</t>
  </si>
  <si>
    <t>Santos Mooney</t>
  </si>
  <si>
    <t>Theodore Dinh</t>
  </si>
  <si>
    <t>Austin Vo</t>
  </si>
  <si>
    <t>Jermaine Benitez</t>
  </si>
  <si>
    <t>Joshua Gupta</t>
  </si>
  <si>
    <t>Dave Armstrong</t>
  </si>
  <si>
    <t>a</t>
  </si>
  <si>
    <t>Column Labels</t>
  </si>
  <si>
    <t>Count of Name</t>
  </si>
  <si>
    <t>Row Labels</t>
  </si>
  <si>
    <t>Total</t>
  </si>
  <si>
    <t>KPI</t>
  </si>
  <si>
    <t>Value</t>
  </si>
  <si>
    <t>Overall HC</t>
  </si>
  <si>
    <t>Active HC</t>
  </si>
  <si>
    <t>Attrition %</t>
  </si>
  <si>
    <t>Gender</t>
  </si>
  <si>
    <t>HC</t>
  </si>
  <si>
    <t>HC%</t>
  </si>
  <si>
    <t>Level</t>
  </si>
  <si>
    <t>Dept</t>
  </si>
  <si>
    <t>Managers</t>
  </si>
  <si>
    <t>HC Reporting</t>
  </si>
  <si>
    <t>&lt;1 year</t>
  </si>
  <si>
    <t>1+ years</t>
  </si>
  <si>
    <t>2+ years</t>
  </si>
  <si>
    <t>3+ years</t>
  </si>
  <si>
    <t>4+ years</t>
  </si>
  <si>
    <t>5+ years</t>
  </si>
  <si>
    <t xml:space="preserve"> </t>
  </si>
  <si>
    <t>Last Updated:
06-Jun-2026 02:29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</si>
</sst>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d\-mmm\-yy;@"/>
    <numFmt numFmtId="165" formatCode="[$-409]d\-mmm;@"/>
  </numFmts>
  <fonts count="7" x14ac:knownFonts="1">
    <font>
      <sz val="11"/>
      <color theme="1"/>
      <name val="Aptos Narrow"/>
      <family val="2"/>
      <scheme val="minor"/>
    </font>
    <font>
      <b/>
      <sz val="10"/>
      <name val="Aptos Narrow"/>
      <family val="2"/>
      <scheme val="minor"/>
    </font>
    <font>
      <sz val="10"/>
      <name val="Aptos Narrow"/>
      <family val="2"/>
      <scheme val="minor"/>
    </font>
    <font>
      <sz val="10"/>
      <color theme="1"/>
      <name val="Aptos Narrow"/>
      <family val="2"/>
      <scheme val="minor"/>
    </font>
    <font>
      <sz val="11"/>
      <color theme="1"/>
      <name val="Aptos Narrow"/>
      <family val="2"/>
      <scheme val="minor"/>
    </font>
    <font>
      <b/>
      <sz val="11"/>
      <color theme="1"/>
      <name val="Aptos Narrow"/>
      <family val="2"/>
      <scheme val="minor"/>
    </font>
    <font>
      <sz val="11"/>
      <color theme="0" tint="-0.34998626667073579"/>
      <name val="Aptos Narrow"/>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5" tint="0.79998168889431442"/>
        <bgColor theme="4" tint="0.79998168889431442"/>
      </patternFill>
    </fill>
    <fill>
      <patternFill patternType="solid">
        <fgColor theme="5" tint="0.79998168889431442"/>
        <bgColor indexed="64"/>
      </patternFill>
    </fill>
    <fill>
      <patternFill patternType="solid">
        <fgColor theme="0"/>
        <bgColor indexed="64"/>
      </patternFill>
    </fill>
  </fills>
  <borders count="5">
    <border>
      <left/>
      <right/>
      <top/>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9" fontId="4" fillId="0" borderId="0" applyFont="0" applyFill="0" applyBorder="0" applyAlignment="0" applyProtection="0"/>
  </cellStyleXfs>
  <cellXfs count="26">
    <xf numFmtId="0" fontId="0" fillId="0" borderId="0" xfId="0"/>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2" fillId="0" borderId="2" xfId="0" applyFont="1" applyBorder="1"/>
    <xf numFmtId="0" fontId="3" fillId="0" borderId="2" xfId="0" applyFont="1" applyBorder="1" applyAlignment="1">
      <alignment horizontal="left"/>
    </xf>
    <xf numFmtId="0" fontId="3" fillId="0" borderId="2" xfId="0" applyFont="1" applyBorder="1"/>
    <xf numFmtId="164" fontId="3" fillId="0" borderId="2" xfId="0" applyNumberFormat="1" applyFont="1" applyBorder="1" applyAlignment="1">
      <alignment horizontal="right" vertical="center"/>
    </xf>
    <xf numFmtId="164" fontId="3" fillId="0" borderId="2" xfId="0" applyNumberFormat="1" applyFont="1" applyBorder="1" applyAlignment="1">
      <alignment horizontal="left" vertical="center"/>
    </xf>
    <xf numFmtId="165" fontId="3" fillId="0" borderId="2" xfId="0" applyNumberFormat="1" applyFont="1" applyBorder="1" applyAlignment="1">
      <alignment horizontal="left"/>
    </xf>
    <xf numFmtId="0" fontId="3" fillId="3" borderId="2" xfId="0" applyFont="1" applyFill="1" applyBorder="1"/>
    <xf numFmtId="0" fontId="0" fillId="0" borderId="0" xfId="0" pivotButton="1"/>
    <xf numFmtId="0" fontId="0" fillId="0" borderId="0" xfId="0" applyAlignment="1">
      <alignment horizontal="left"/>
    </xf>
    <xf numFmtId="0" fontId="5" fillId="4" borderId="3" xfId="0" applyFont="1" applyFill="1" applyBorder="1"/>
    <xf numFmtId="0" fontId="5" fillId="4" borderId="4" xfId="0" applyFont="1" applyFill="1" applyBorder="1" applyAlignment="1">
      <alignment horizontal="left"/>
    </xf>
    <xf numFmtId="0" fontId="5" fillId="4" borderId="4" xfId="0" applyFont="1" applyFill="1" applyBorder="1"/>
    <xf numFmtId="9" fontId="0" fillId="0" borderId="0" xfId="1" applyFont="1"/>
    <xf numFmtId="0" fontId="0" fillId="5" borderId="0" xfId="0" applyFill="1"/>
    <xf numFmtId="9" fontId="0" fillId="5" borderId="0" xfId="1" applyFont="1" applyFill="1"/>
    <xf numFmtId="0" fontId="5" fillId="0" borderId="0" xfId="0" applyFont="1"/>
    <xf numFmtId="0" fontId="5" fillId="5" borderId="0" xfId="0" applyFont="1" applyFill="1"/>
    <xf numFmtId="0" fontId="5" fillId="5" borderId="0" xfId="0" applyFont="1" applyFill="1" applyAlignment="1">
      <alignment horizontal="left"/>
    </xf>
    <xf numFmtId="9" fontId="5" fillId="5" borderId="0" xfId="1" applyFont="1" applyFill="1"/>
    <xf numFmtId="0" fontId="0" fillId="6" borderId="0" xfId="0" applyFill="1"/>
    <xf numFmtId="0" fontId="6" fillId="6" borderId="0" xfId="0" applyFont="1" applyFill="1"/>
    <xf numFmtId="0" fontId="0" fillId="0" borderId="0" xfId="0" applyNumberFormat="1"/>
    <xf numFmtId="0" fontId="0" fillId="0" borderId="0" xfId="0" applyAlignment="1">
      <alignment wrapText="1"/>
    </xf>
  </cellXfs>
  <cellStyles count="2">
    <cellStyle name="Normal" xfId="0" builtinId="0"/>
    <cellStyle name="Percent" xfId="1" builtinId="5"/>
  </cellStyles>
  <dxfs count="59">
    <dxf>
      <font>
        <b val="0"/>
        <i val="0"/>
        <strike val="0"/>
        <condense val="0"/>
        <extend val="0"/>
        <outline val="0"/>
        <shadow val="0"/>
        <u val="none"/>
        <vertAlign val="baseline"/>
        <sz val="10"/>
        <color theme="1"/>
        <name val="Aptos Narrow"/>
        <family val="2"/>
        <scheme val="minor"/>
      </font>
      <numFmt numFmtId="0" formatCode="General"/>
      <fill>
        <patternFill patternType="solid">
          <fgColor indexed="64"/>
          <bgColor theme="9" tint="0.79998168889431442"/>
        </patternFill>
      </fil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0" formatCode="General"/>
      <fill>
        <patternFill patternType="solid">
          <fgColor indexed="64"/>
          <bgColor theme="9" tint="0.79998168889431442"/>
        </patternFill>
      </fill>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ptos Narrow"/>
        <family val="2"/>
        <scheme val="minor"/>
      </font>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ptos Narrow"/>
        <family val="2"/>
        <scheme val="minor"/>
      </font>
      <numFmt numFmtId="0" formatCode="Genera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4" formatCode="[$-409]d\-mmm\-yy;@"/>
      <alignment horizontal="lef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4" formatCode="[$-409]d\-mmm\-yy;@"/>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4" formatCode="[$-409]d\-mmm\-yy;@"/>
      <fill>
        <patternFill patternType="none">
          <fgColor indexed="64"/>
          <bgColor indexed="65"/>
        </patternFill>
      </fill>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auto="1"/>
        <name val="Aptos Narrow"/>
        <family val="2"/>
        <scheme val="minor"/>
      </font>
      <numFmt numFmtId="164" formatCode="[$-409]d\-mmm\-yy;@"/>
      <fill>
        <patternFill patternType="solid">
          <fgColor indexed="64"/>
          <bgColor theme="9" tint="0.59999389629810485"/>
        </patternFill>
      </fill>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border>
        <top style="hair">
          <color auto="1"/>
        </top>
      </border>
    </dxf>
    <dxf>
      <border diagonalUp="0" diagonalDown="0">
        <left style="hair">
          <color auto="1"/>
        </left>
        <right style="hair">
          <color auto="1"/>
        </right>
        <top style="hair">
          <color auto="1"/>
        </top>
        <bottom style="hair">
          <color auto="1"/>
        </bottom>
      </border>
    </dxf>
    <dxf>
      <border>
        <bottom style="hair">
          <color auto="1"/>
        </bottom>
      </border>
    </dxf>
    <dxf>
      <font>
        <b/>
        <strike val="0"/>
        <outline val="0"/>
        <shadow val="0"/>
        <u val="none"/>
        <vertAlign val="baseline"/>
        <sz val="10"/>
        <name val="Aptos Narrow"/>
        <family val="2"/>
        <scheme val="minor"/>
      </font>
      <fill>
        <patternFill patternType="solid">
          <fgColor indexed="64"/>
          <bgColor theme="4" tint="0.79998168889431442"/>
        </patternFill>
      </fill>
      <alignment vertical="center" textRotation="0" wrapText="1" justifyLastLine="0" shrinkToFit="0" readingOrder="0"/>
      <border diagonalUp="0" diagonalDown="0" outline="0">
        <left style="hair">
          <color auto="1"/>
        </left>
        <right style="hair">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theme="7" tint="0.79998168889431442"/>
        </patternFill>
      </fill>
    </dxf>
    <dxf>
      <fill>
        <patternFill>
          <bgColor rgb="FFFFFF00"/>
        </patternFill>
      </fill>
    </dxf>
    <dxf>
      <fill>
        <patternFill>
          <fgColor rgb="FFFF00FF"/>
          <bgColor rgb="FF00B0F0"/>
        </patternFill>
      </fill>
    </dxf>
    <dxf>
      <fill>
        <patternFill patternType="none">
          <bgColor auto="1"/>
        </patternFill>
      </fill>
    </dxf>
    <dxf>
      <fill>
        <gradientFill degree="270">
          <stop position="0">
            <color rgb="FFFF00FF"/>
          </stop>
          <stop position="1">
            <color rgb="FF00B0F0"/>
          </stop>
        </gradientFill>
      </fill>
    </dxf>
    <dxf>
      <fill>
        <patternFill patternType="none">
          <bgColor auto="1"/>
        </patternFill>
      </fill>
    </dxf>
    <dxf>
      <fill>
        <patternFill patternType="none">
          <bgColor auto="1"/>
        </patternFill>
      </fill>
    </dxf>
    <dxf>
      <font>
        <b/>
        <i val="0"/>
        <u val="double"/>
        <sz val="14"/>
        <color theme="2"/>
        <name val="Aptos Display"/>
        <family val="2"/>
        <scheme val="major"/>
      </font>
      <fill>
        <patternFill patternType="solid">
          <bgColor rgb="FF000E2A"/>
        </patternFill>
      </fill>
    </dxf>
    <dxf>
      <fill>
        <patternFill>
          <bgColor rgb="FF000F2E"/>
        </patternFill>
      </fill>
    </dxf>
    <dxf>
      <font>
        <b/>
        <i val="0"/>
        <sz val="12"/>
        <color theme="2"/>
        <name val="Aptos Display"/>
        <family val="2"/>
        <scheme val="major"/>
      </font>
      <fill>
        <patternFill patternType="solid">
          <bgColor rgb="FF000E2A"/>
        </patternFill>
      </fill>
    </dxf>
    <dxf>
      <fill>
        <gradientFill degree="270">
          <stop position="0">
            <color theme="3"/>
          </stop>
          <stop position="1">
            <color theme="4" tint="0.40000610370189521"/>
          </stop>
        </gradientFill>
      </fill>
    </dxf>
    <dxf>
      <font>
        <b/>
        <i val="0"/>
        <u val="double"/>
        <sz val="14"/>
        <color theme="2"/>
        <name val="Aptos Display"/>
        <family val="2"/>
        <scheme val="major"/>
      </font>
      <fill>
        <patternFill patternType="solid">
          <bgColor rgb="FF000E2A"/>
        </patternFill>
      </fill>
    </dxf>
    <dxf>
      <fill>
        <patternFill>
          <bgColor rgb="FF000F2E"/>
        </patternFill>
      </fill>
    </dxf>
    <dxf>
      <font>
        <b/>
        <i val="0"/>
        <name val="Aptos Display"/>
        <family val="2"/>
        <scheme val="major"/>
      </font>
      <fill>
        <patternFill patternType="none">
          <bgColor auto="1"/>
        </patternFill>
      </fill>
    </dxf>
    <dxf>
      <font>
        <b/>
        <i val="0"/>
        <sz val="12"/>
        <color theme="0"/>
        <name val="Aptos Display"/>
        <family val="2"/>
        <scheme val="major"/>
      </font>
      <fill>
        <gradientFill>
          <stop position="0">
            <color theme="7"/>
          </stop>
          <stop position="1">
            <color theme="1"/>
          </stop>
        </gradientFill>
      </fill>
    </dxf>
    <dxf>
      <fill>
        <gradientFill degree="90">
          <stop position="0">
            <color theme="4"/>
          </stop>
          <stop position="1">
            <color theme="1"/>
          </stop>
        </gradientFill>
      </fill>
    </dxf>
    <dxf>
      <font>
        <b/>
        <i val="0"/>
        <name val="Aptos Display"/>
        <family val="2"/>
        <scheme val="major"/>
      </font>
      <fill>
        <patternFill patternType="none">
          <bgColor auto="1"/>
        </patternFill>
      </fill>
    </dxf>
  </dxfs>
  <tableStyles count="15" defaultTableStyle="TableStyleMedium2" defaultPivotStyle="PivotStyleLight16">
    <tableStyle name="Slicer Style 1" pivot="0" table="0" count="0" xr9:uid="{517EAC75-20A7-4E54-84AA-52A72247867C}"/>
    <tableStyle name="Slicer Style 10" pivot="0" table="0" count="3" xr9:uid="{39F83557-4D3D-4AB3-B2AD-80AC50978AD9}">
      <tableStyleElement type="headerRow" dxfId="58"/>
    </tableStyle>
    <tableStyle name="Slicer Style 10 2" pivot="0" table="0" count="4" xr9:uid="{B01F74EC-6FF0-4ED4-9309-1CC4514774EB}">
      <tableStyleElement type="wholeTable" dxfId="57"/>
      <tableStyleElement type="headerRow" dxfId="56"/>
    </tableStyle>
    <tableStyle name="Slicer Style 10 2 2" pivot="0" table="0" count="3" xr9:uid="{55DF714A-422A-4315-BBE3-910A229ED487}">
      <tableStyleElement type="headerRow" dxfId="55"/>
    </tableStyle>
    <tableStyle name="Slicer Style 10 2 2 2" pivot="0" table="0" count="4" xr9:uid="{B466E939-06FA-4EAB-A28D-6905821D2CA2}">
      <tableStyleElement type="wholeTable" dxfId="54"/>
      <tableStyleElement type="headerRow" dxfId="53"/>
    </tableStyle>
    <tableStyle name="Slicer Style 10 2 2 2 2" pivot="0" table="0" count="4" xr9:uid="{100A48EA-8321-4844-A4D7-05D30212C717}">
      <tableStyleElement type="wholeTable" dxfId="52"/>
      <tableStyleElement type="headerRow" dxfId="51"/>
    </tableStyle>
    <tableStyle name="Slicer Style 10 2 2 2 3" pivot="0" table="0" count="4" xr9:uid="{DE6FAE20-D2B9-4E21-8558-2AD28732C1A3}">
      <tableStyleElement type="wholeTable" dxfId="50"/>
      <tableStyleElement type="headerRow" dxfId="49"/>
    </tableStyle>
    <tableStyle name="Slicer Style 2" pivot="0" table="0" count="0" xr9:uid="{4E6301C0-C863-4FD0-BD9C-C8A3C1BEA34B}"/>
    <tableStyle name="Slicer Style 3" pivot="0" table="0" count="1" xr9:uid="{726C163D-949D-4247-A54B-2E5AB0B8731C}"/>
    <tableStyle name="Slicer Style 4" pivot="0" table="0" count="1" xr9:uid="{848103B8-5713-4354-B95F-D7B3B6C8C528}">
      <tableStyleElement type="wholeTable" dxfId="48"/>
    </tableStyle>
    <tableStyle name="Slicer Style 5" pivot="0" table="0" count="1" xr9:uid="{762722D3-6A99-4132-B148-C8736BB8FC79}">
      <tableStyleElement type="wholeTable" dxfId="47"/>
    </tableStyle>
    <tableStyle name="Slicer Style 6" pivot="0" table="0" count="1" xr9:uid="{F7C0F587-0133-4B88-84C3-5DFDD66F0A5D}">
      <tableStyleElement type="wholeTable" dxfId="46"/>
    </tableStyle>
    <tableStyle name="Slicer Style 7" pivot="0" table="0" count="1" xr9:uid="{F91EE4CA-CAE0-4AC5-9773-5E1330F8FF5E}"/>
    <tableStyle name="Slicer Style 8" pivot="0" table="0" count="2" xr9:uid="{4C7BC78D-ACA9-4A6E-A9EE-8D41DFCA47AD}">
      <tableStyleElement type="wholeTable" dxfId="45"/>
      <tableStyleElement type="headerRow" dxfId="44"/>
    </tableStyle>
    <tableStyle name="Slicer Style 9" pivot="0" table="0" count="0" xr9:uid="{0FCB5B0C-4529-486F-A261-CE2A7A8DCB9B}"/>
  </tableStyles>
  <colors>
    <mruColors>
      <color rgb="FF7266E0"/>
      <color rgb="FF33B8ED"/>
      <color rgb="FFE187FD"/>
      <color rgb="FF000F2E"/>
      <color rgb="FF000D26"/>
      <color rgb="FFF33FD9"/>
      <color rgb="FF000E2A"/>
      <color rgb="FF00153E"/>
      <color rgb="FFFF00FF"/>
      <color rgb="FFD818D8"/>
    </mruColors>
  </colors>
  <extLst>
    <ext xmlns:x14="http://schemas.microsoft.com/office/spreadsheetml/2009/9/main" uri="{46F421CA-312F-682f-3DD2-61675219B42D}">
      <x14:dxfs count="14">
        <dxf>
          <fill>
            <gradientFill degree="270">
              <stop position="0">
                <color rgb="FFFF00FF"/>
              </stop>
              <stop position="1">
                <color rgb="FF00B0F0"/>
              </stop>
            </gradientFill>
          </fill>
        </dxf>
        <dxf>
          <font>
            <b/>
            <i val="0"/>
            <sz val="10"/>
            <name val="Aptos Display"/>
            <family val="2"/>
            <scheme val="none"/>
          </font>
        </dxf>
        <dxf>
          <font>
            <b/>
            <i val="0"/>
          </font>
          <fill>
            <patternFill patternType="solid">
              <fgColor auto="1"/>
              <bgColor rgb="FF00B0F0"/>
            </patternFill>
          </fill>
        </dxf>
        <dxf>
          <font>
            <color theme="1"/>
          </font>
          <fill>
            <patternFill patternType="none">
              <bgColor auto="1"/>
            </patternFill>
          </fill>
        </dxf>
        <dxf>
          <font>
            <b/>
            <i val="0"/>
          </font>
          <fill>
            <patternFill patternType="solid">
              <bgColor rgb="FFF33FD9"/>
            </patternFill>
          </fill>
        </dxf>
        <dxf>
          <fill>
            <patternFill patternType="none">
              <bgColor auto="1"/>
            </patternFill>
          </fill>
        </dxf>
        <dxf>
          <font>
            <b/>
            <i val="0"/>
          </font>
          <fill>
            <patternFill patternType="solid">
              <bgColor rgb="FFF33FD9"/>
            </patternFill>
          </fill>
        </dxf>
        <dxf>
          <font>
            <color theme="3"/>
          </font>
          <fill>
            <patternFill patternType="none">
              <bgColor auto="1"/>
            </patternFill>
          </fill>
        </dxf>
        <dxf>
          <font>
            <b/>
            <i val="0"/>
          </font>
          <fill>
            <patternFill patternType="solid">
              <bgColor rgb="FFF33FD9"/>
            </patternFill>
          </fill>
        </dxf>
        <dxf>
          <fill>
            <patternFill patternType="none">
              <bgColor auto="1"/>
            </patternFill>
          </fill>
        </dxf>
        <dxf>
          <font>
            <b/>
            <i val="0"/>
          </font>
          <fill>
            <patternFill patternType="solid">
              <bgColor rgb="FF00B0F0"/>
            </patternFill>
          </fill>
        </dxf>
        <dxf>
          <fill>
            <patternFill patternType="none">
              <bgColor auto="1"/>
            </patternFill>
          </fill>
        </dxf>
        <dxf>
          <fill>
            <patternFill patternType="solid">
              <bgColor rgb="FF00B0F0"/>
            </patternFill>
          </fill>
        </dxf>
        <dxf>
          <fill>
            <patternFill patternType="none">
              <bgColor auto="1"/>
            </patternFill>
          </fill>
        </dxf>
      </x14:dxfs>
    </ext>
    <ext xmlns:x14="http://schemas.microsoft.com/office/spreadsheetml/2009/9/main" uri="{EB79DEF2-80B8-43e5-95BD-54CBDDF9020C}">
      <x14:slicerStyles defaultSlicerStyle="SlicerStyleLight1">
        <x14:slicerStyle name="Slicer Style 1"/>
        <x14:slicerStyle name="Slicer Style 10">
          <x14:slicerStyleElements>
            <x14:slicerStyleElement type="unselectedItemWithData" dxfId="13"/>
            <x14:slicerStyleElement type="selectedItemWithData" dxfId="12"/>
          </x14:slicerStyleElements>
        </x14:slicerStyle>
        <x14:slicerStyle name="Slicer Style 10 2">
          <x14:slicerStyleElements>
            <x14:slicerStyleElement type="unselectedItemWithData" dxfId="11"/>
            <x14:slicerStyleElement type="selectedItemWithData" dxfId="10"/>
          </x14:slicerStyleElements>
        </x14:slicerStyle>
        <x14:slicerStyle name="Slicer Style 10 2 2">
          <x14:slicerStyleElements>
            <x14:slicerStyleElement type="unselectedItemWithData" dxfId="9"/>
            <x14:slicerStyleElement type="selectedItemWithData" dxfId="8"/>
          </x14:slicerStyleElements>
        </x14:slicerStyle>
        <x14:slicerStyle name="Slicer Style 10 2 2 2">
          <x14:slicerStyleElements>
            <x14:slicerStyleElement type="unselectedItemWithData" dxfId="7"/>
            <x14:slicerStyleElement type="selectedItemWithData" dxfId="6"/>
          </x14:slicerStyleElements>
        </x14:slicerStyle>
        <x14:slicerStyle name="Slicer Style 10 2 2 2 2">
          <x14:slicerStyleElements>
            <x14:slicerStyleElement type="unselectedItemWithData" dxfId="5"/>
            <x14:slicerStyleElement type="selectedItemWithData" dxfId="4"/>
          </x14:slicerStyleElements>
        </x14:slicerStyle>
        <x14:slicerStyle name="Slicer Style 10 2 2 2 3">
          <x14:slicerStyleElements>
            <x14:slicerStyleElement type="unselectedItemWithData" dxfId="3"/>
            <x14:slicerStyleElement type="selectedItemWithData" dxfId="2"/>
          </x14:slicerStyleElements>
        </x14:slicerStyle>
        <x14:slicerStyle name="Slicer Style 2"/>
        <x14:slicerStyle name="Slicer Style 3">
          <x14:slicerStyleElements>
            <x14:slicerStyleElement type="hoveredSelectedItemWithData" dxfId="1"/>
          </x14:slicerStyleElements>
        </x14:slicerStyle>
        <x14:slicerStyle name="Slicer Style 4"/>
        <x14:slicerStyle name="Slicer Style 5"/>
        <x14:slicerStyle name="Slicer Style 6"/>
        <x14:slicerStyle name="Slicer Style 7">
          <x14:slicerStyleElements>
            <x14:slicerStyleElement type="hoveredSelectedItemWithData" dxfId="0"/>
          </x14:slicerStyleElements>
        </x14:slicerStyle>
        <x14:slicerStyle name="Slicer Style 8"/>
        <x14:slicerStyle name="Slicer Style 9"/>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Pivot!$F$14</c:f>
              <c:strCache>
                <c:ptCount val="1"/>
                <c:pt idx="0">
                  <c:v>Attrition</c:v>
                </c:pt>
              </c:strCache>
            </c:strRef>
          </c:tx>
          <c:spPr>
            <a:solidFill>
              <a:schemeClr val="accent2"/>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Pivot!$E$15:$E$20</c:f>
              <c:numCache>
                <c:formatCode>General</c:formatCode>
                <c:ptCount val="6"/>
                <c:pt idx="0">
                  <c:v>2020</c:v>
                </c:pt>
                <c:pt idx="1">
                  <c:v>2021</c:v>
                </c:pt>
                <c:pt idx="2">
                  <c:v>2022</c:v>
                </c:pt>
                <c:pt idx="3">
                  <c:v>2023</c:v>
                </c:pt>
                <c:pt idx="4">
                  <c:v>2024</c:v>
                </c:pt>
                <c:pt idx="5">
                  <c:v>2025</c:v>
                </c:pt>
              </c:numCache>
            </c:numRef>
          </c:cat>
          <c:val>
            <c:numRef>
              <c:f>Pivot!$F$15:$F$20</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063C-4F75-B7F2-08010576E3CF}"/>
            </c:ext>
          </c:extLst>
        </c:ser>
        <c:ser>
          <c:idx val="2"/>
          <c:order val="2"/>
          <c:tx>
            <c:strRef>
              <c:f>Pivot!$G$14</c:f>
              <c:strCache>
                <c:ptCount val="1"/>
                <c:pt idx="0">
                  <c:v>On-Board</c:v>
                </c:pt>
              </c:strCache>
            </c:strRef>
          </c:tx>
          <c:spPr>
            <a:solidFill>
              <a:schemeClr val="accent3"/>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Pivot!$E$15:$E$20</c:f>
              <c:numCache>
                <c:formatCode>General</c:formatCode>
                <c:ptCount val="6"/>
                <c:pt idx="0">
                  <c:v>2020</c:v>
                </c:pt>
                <c:pt idx="1">
                  <c:v>2021</c:v>
                </c:pt>
                <c:pt idx="2">
                  <c:v>2022</c:v>
                </c:pt>
                <c:pt idx="3">
                  <c:v>2023</c:v>
                </c:pt>
                <c:pt idx="4">
                  <c:v>2024</c:v>
                </c:pt>
                <c:pt idx="5">
                  <c:v>2025</c:v>
                </c:pt>
              </c:numCache>
            </c:numRef>
          </c:cat>
          <c:val>
            <c:numRef>
              <c:f>Pivot!$G$15:$G$20</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063C-4F75-B7F2-08010576E3CF}"/>
            </c:ext>
          </c:extLst>
        </c:ser>
        <c:ser>
          <c:idx val="3"/>
          <c:order val="3"/>
          <c:tx>
            <c:strRef>
              <c:f>Pivot!$H$14</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Pivot!$E$15:$E$20</c:f>
              <c:numCache>
                <c:formatCode>General</c:formatCode>
                <c:ptCount val="6"/>
                <c:pt idx="0">
                  <c:v>2020</c:v>
                </c:pt>
                <c:pt idx="1">
                  <c:v>2021</c:v>
                </c:pt>
                <c:pt idx="2">
                  <c:v>2022</c:v>
                </c:pt>
                <c:pt idx="3">
                  <c:v>2023</c:v>
                </c:pt>
                <c:pt idx="4">
                  <c:v>2024</c:v>
                </c:pt>
                <c:pt idx="5">
                  <c:v>2025</c:v>
                </c:pt>
              </c:numCache>
            </c:numRef>
          </c:cat>
          <c:val>
            <c:numRef>
              <c:f>Pivot!$H$15:$H$20</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063C-4F75-B7F2-08010576E3CF}"/>
            </c:ext>
          </c:extLst>
        </c:ser>
        <c:dLbls>
          <c:showLegendKey val="0"/>
          <c:showVal val="1"/>
          <c:showCatName val="0"/>
          <c:showSerName val="0"/>
          <c:showPercent val="0"/>
          <c:showBubbleSize val="0"/>
        </c:dLbls>
        <c:gapWidth val="65"/>
        <c:overlap val="100"/>
        <c:axId val="1919010224"/>
        <c:axId val="1919000144"/>
        <c:extLst>
          <c:ext xmlns:c15="http://schemas.microsoft.com/office/drawing/2012/chart" uri="{02D57815-91ED-43cb-92C2-25804820EDAC}">
            <c15:filteredBarSeries>
              <c15:ser>
                <c:idx val="0"/>
                <c:order val="0"/>
                <c:tx>
                  <c:strRef>
                    <c:extLst>
                      <c:ext uri="{02D57815-91ED-43cb-92C2-25804820EDAC}">
                        <c15:formulaRef>
                          <c15:sqref>Pivot!$E$14</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Pivot!$E$15:$E$20</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Pivot!$E$15:$E$20</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063C-4F75-B7F2-08010576E3CF}"/>
                  </c:ext>
                </c:extLst>
              </c15:ser>
            </c15:filteredBarSeries>
          </c:ext>
        </c:extLst>
      </c:barChart>
      <c:lineChart>
        <c:grouping val="stacked"/>
        <c:varyColors val="0"/>
        <c:ser>
          <c:idx val="4"/>
          <c:order val="4"/>
          <c:tx>
            <c:strRef>
              <c:f>Pivot!$I$14</c:f>
              <c:strCache>
                <c:ptCount val="1"/>
                <c:pt idx="0">
                  <c:v>Total</c:v>
                </c:pt>
              </c:strCache>
            </c:strRef>
          </c:tx>
          <c:spPr>
            <a:ln w="28575" cap="rnd">
              <a:solidFill>
                <a:schemeClr val="accent5"/>
              </a:solidFill>
              <a:round/>
            </a:ln>
            <a:effectLst/>
          </c:spPr>
          <c:marker>
            <c:symbol val="none"/>
          </c:marker>
          <c:dLbls>
            <c:dLbl>
              <c:idx val="4"/>
              <c:layout>
                <c:manualLayout>
                  <c:x val="-4.5648126443192445E-2"/>
                  <c:y val="-8.467823285593359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63C-4F75-B7F2-08010576E3CF}"/>
                </c:ext>
              </c:extLst>
            </c:dLbl>
            <c:spPr>
              <a:solidFill>
                <a:srgbClr val="0F9ED5">
                  <a:lumMod val="60000"/>
                  <a:lumOff val="40000"/>
                </a:srgbClr>
              </a:solid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Pivot!$I$15:$I$20</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063C-4F75-B7F2-08010576E3CF}"/>
            </c:ext>
          </c:extLst>
        </c:ser>
        <c:dLbls>
          <c:showLegendKey val="0"/>
          <c:showVal val="1"/>
          <c:showCatName val="0"/>
          <c:showSerName val="0"/>
          <c:showPercent val="0"/>
          <c:showBubbleSize val="0"/>
        </c:dLbls>
        <c:marker val="1"/>
        <c:smooth val="0"/>
        <c:axId val="1919000624"/>
        <c:axId val="1919013104"/>
      </c:lineChart>
      <c:catAx>
        <c:axId val="19190102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9000144"/>
        <c:crosses val="autoZero"/>
        <c:auto val="1"/>
        <c:lblAlgn val="ctr"/>
        <c:lblOffset val="100"/>
        <c:noMultiLvlLbl val="0"/>
      </c:catAx>
      <c:valAx>
        <c:axId val="19190001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9010224"/>
        <c:crosses val="autoZero"/>
        <c:crossBetween val="between"/>
      </c:valAx>
      <c:valAx>
        <c:axId val="19190131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9000624"/>
        <c:crosses val="max"/>
        <c:crossBetween val="between"/>
      </c:valAx>
      <c:catAx>
        <c:axId val="1919000624"/>
        <c:scaling>
          <c:orientation val="minMax"/>
        </c:scaling>
        <c:delete val="0"/>
        <c:axPos val="t"/>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9013104"/>
        <c:crosses val="max"/>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81980742452081"/>
          <c:y val="8.6980593304934309E-2"/>
          <c:w val="0.53563941548571581"/>
          <c:h val="0.74671806094523252"/>
        </c:manualLayout>
      </c:layout>
      <c:doughnutChart>
        <c:varyColors val="1"/>
        <c:ser>
          <c:idx val="0"/>
          <c:order val="0"/>
          <c:spPr>
            <a:effectLst>
              <a:outerShdw blurRad="50800" dist="38100" dir="2700000" algn="tl" rotWithShape="0">
                <a:prstClr val="black">
                  <a:alpha val="40000"/>
                </a:prstClr>
              </a:outerShdw>
            </a:effectLst>
          </c:spPr>
          <c:explosion val="1"/>
          <c:dPt>
            <c:idx val="0"/>
            <c:bubble3D val="0"/>
            <c:spPr>
              <a:solidFill>
                <a:schemeClr val="accent1"/>
              </a:solidFill>
              <a:ln w="3175">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7D0A-4A45-A428-948C0EDFAA4C}"/>
              </c:ext>
            </c:extLst>
          </c:dPt>
          <c:dPt>
            <c:idx val="1"/>
            <c:bubble3D val="0"/>
            <c:explosion val="0"/>
            <c:spPr>
              <a:solidFill>
                <a:schemeClr val="accent2"/>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7D0A-4A45-A428-948C0EDFAA4C}"/>
              </c:ext>
            </c:extLst>
          </c:dPt>
          <c:dLbls>
            <c:dLbl>
              <c:idx val="0"/>
              <c:layout>
                <c:manualLayout>
                  <c:x val="-0.47918128127554555"/>
                  <c:y val="0.53023343502553733"/>
                </c:manualLayout>
              </c:layout>
              <c:tx>
                <c:rich>
                  <a:bodyPr/>
                  <a:lstStyle/>
                  <a:p>
                    <a:fld id="{578E238D-F73D-425D-BBE4-E3D1E6EAEC82}" type="CATEGORYNAME">
                      <a:rPr lang="en-US"/>
                      <a:pPr/>
                      <a:t>[CATEGORY NAME]</a:t>
                    </a:fld>
                    <a:endParaRPr lang="en-US"/>
                  </a:p>
                </c:rich>
              </c:tx>
              <c:showLegendKey val="1"/>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7D0A-4A45-A428-948C0EDFAA4C}"/>
                </c:ext>
              </c:extLst>
            </c:dLbl>
            <c:dLbl>
              <c:idx val="1"/>
              <c:layout>
                <c:manualLayout>
                  <c:x val="-0.26770053051665954"/>
                  <c:y val="0.69377506598567174"/>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0C84E4B5-8B5F-49C1-BCAA-345CBEFB075C}" type="CATEGORYNAME">
                      <a:rPr lang="en-US"/>
                      <a:pPr>
                        <a:defRPr/>
                      </a:pPr>
                      <a:t>[CATEGORY NAME]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15:layout>
                    <c:manualLayout>
                      <c:w val="0.16547461186028697"/>
                      <c:h val="7.6484690597054775E-2"/>
                    </c:manualLayout>
                  </c15:layout>
                  <c15:dlblFieldTable/>
                  <c15:showDataLabelsRange val="0"/>
                </c:ext>
                <c:ext xmlns:c16="http://schemas.microsoft.com/office/drawing/2014/chart" uri="{C3380CC4-5D6E-409C-BE32-E72D297353CC}">
                  <c16:uniqueId val="{00000003-7D0A-4A45-A428-948C0EDFAA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Pivot!$K$15:$K$16</c:f>
              <c:strCache>
                <c:ptCount val="2"/>
                <c:pt idx="0">
                  <c:v>Female</c:v>
                </c:pt>
                <c:pt idx="1">
                  <c:v>Male</c:v>
                </c:pt>
              </c:strCache>
            </c:strRef>
          </c:cat>
          <c:val>
            <c:numRef>
              <c:f>Pivot!$L$15:$L$16</c:f>
              <c:numCache>
                <c:formatCode>General</c:formatCode>
                <c:ptCount val="2"/>
                <c:pt idx="0">
                  <c:v>45</c:v>
                </c:pt>
                <c:pt idx="1">
                  <c:v>73</c:v>
                </c:pt>
              </c:numCache>
            </c:numRef>
          </c:val>
          <c:extLst>
            <c:ext xmlns:c16="http://schemas.microsoft.com/office/drawing/2014/chart" uri="{C3380CC4-5D6E-409C-BE32-E72D297353CC}">
              <c16:uniqueId val="{00000004-7D0A-4A45-A428-948C0EDFAA4C}"/>
            </c:ext>
          </c:extLst>
        </c:ser>
        <c:dLbls>
          <c:showLegendKey val="0"/>
          <c:showVal val="0"/>
          <c:showCatName val="0"/>
          <c:showSerName val="0"/>
          <c:showPercent val="0"/>
          <c:showBubbleSize val="0"/>
          <c:showLeaderLines val="1"/>
        </c:dLbls>
        <c:firstSliceAng val="10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outerShdw blurRad="50800" dist="38100" dir="2700000" algn="tl" rotWithShape="0">
            <a:prstClr val="black">
              <a:alpha val="40000"/>
            </a:prstClr>
          </a:outerShdw>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6194389528110678"/>
          <c:y val="6.9793539823405693E-2"/>
          <c:w val="0.73912184309378082"/>
          <c:h val="0.91015518145984031"/>
        </c:manualLayout>
      </c:layout>
      <c:bar3DChart>
        <c:barDir val="col"/>
        <c:grouping val="stacked"/>
        <c:varyColors val="0"/>
        <c:ser>
          <c:idx val="0"/>
          <c:order val="0"/>
          <c:tx>
            <c:strRef>
              <c:f>Pivot!$O$15</c:f>
              <c:strCache>
                <c:ptCount val="1"/>
                <c:pt idx="0">
                  <c:v>Contract</c:v>
                </c:pt>
              </c:strCache>
            </c:strRef>
          </c:tx>
          <c:spPr>
            <a:solidFill>
              <a:schemeClr val="accent1"/>
            </a:solidFill>
            <a:ln>
              <a:noFill/>
            </a:ln>
            <a:effectLst>
              <a:outerShdw blurRad="50800" dist="38100" dir="2700000" algn="tl" rotWithShape="0">
                <a:prstClr val="black">
                  <a:alpha val="40000"/>
                </a:prstClr>
              </a:outerShdw>
            </a:effectLst>
            <a:sp3d/>
          </c:spPr>
          <c:invertIfNegative val="0"/>
          <c:dLbls>
            <c:dLbl>
              <c:idx val="0"/>
              <c:layout>
                <c:manualLayout>
                  <c:x val="-0.36297679707576391"/>
                  <c:y val="5.5555555555555552E-2"/>
                </c:manualLayout>
              </c:layout>
              <c:showLegendKey val="0"/>
              <c:showVal val="1"/>
              <c:showCatName val="0"/>
              <c:showSerName val="1"/>
              <c:showPercent val="0"/>
              <c:showBubbleSize val="0"/>
              <c:extLst>
                <c:ext xmlns:c15="http://schemas.microsoft.com/office/drawing/2012/chart" uri="{CE6537A1-D6FC-4f65-9D91-7224C49458BB}">
                  <c15:layout>
                    <c:manualLayout>
                      <c:w val="0.28174741586203278"/>
                      <c:h val="0.17340277777777777"/>
                    </c:manualLayout>
                  </c15:layout>
                </c:ext>
                <c:ext xmlns:c16="http://schemas.microsoft.com/office/drawing/2014/chart" uri="{C3380CC4-5D6E-409C-BE32-E72D297353CC}">
                  <c16:uniqueId val="{00000007-2118-44E3-B43E-0C83704F3C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Pivot!$P$14:$Q$14</c15:sqref>
                  </c15:fullRef>
                </c:ext>
              </c:extLst>
              <c:f>Pivot!$Q$14</c:f>
              <c:strCache>
                <c:ptCount val="1"/>
                <c:pt idx="0">
                  <c:v>HC%</c:v>
                </c:pt>
              </c:strCache>
            </c:strRef>
          </c:cat>
          <c:val>
            <c:numRef>
              <c:extLst>
                <c:ext xmlns:c15="http://schemas.microsoft.com/office/drawing/2012/chart" uri="{02D57815-91ED-43cb-92C2-25804820EDAC}">
                  <c15:fullRef>
                    <c15:sqref>Pivot!$P$15:$Q$15</c15:sqref>
                  </c15:fullRef>
                </c:ext>
              </c:extLst>
              <c:f>Pivot!$Q$15</c:f>
              <c:numCache>
                <c:formatCode>0%</c:formatCode>
                <c:ptCount val="1"/>
                <c:pt idx="0">
                  <c:v>0.11016949152542373</c:v>
                </c:pt>
              </c:numCache>
            </c:numRef>
          </c:val>
          <c:extLst>
            <c:ext xmlns:c16="http://schemas.microsoft.com/office/drawing/2014/chart" uri="{C3380CC4-5D6E-409C-BE32-E72D297353CC}">
              <c16:uniqueId val="{00000000-2118-44E3-B43E-0C83704F3CE6}"/>
            </c:ext>
          </c:extLst>
        </c:ser>
        <c:ser>
          <c:idx val="1"/>
          <c:order val="1"/>
          <c:tx>
            <c:strRef>
              <c:f>Pivot!$O$16</c:f>
              <c:strCache>
                <c:ptCount val="1"/>
                <c:pt idx="0">
                  <c:v>Management</c:v>
                </c:pt>
              </c:strCache>
            </c:strRef>
          </c:tx>
          <c:spPr>
            <a:solidFill>
              <a:schemeClr val="accent2"/>
            </a:solidFill>
            <a:ln>
              <a:noFill/>
            </a:ln>
            <a:effectLst>
              <a:outerShdw blurRad="50800" dist="38100" dir="2700000" algn="tl" rotWithShape="0">
                <a:prstClr val="black">
                  <a:alpha val="40000"/>
                </a:prstClr>
              </a:outerShdw>
            </a:effectLst>
            <a:sp3d/>
          </c:spPr>
          <c:invertIfNegative val="0"/>
          <c:dLbls>
            <c:dLbl>
              <c:idx val="0"/>
              <c:layout>
                <c:manualLayout>
                  <c:x val="-0.32068797687338385"/>
                  <c:y val="-4.8611111111111112E-2"/>
                </c:manualLayout>
              </c:layout>
              <c:showLegendKey val="0"/>
              <c:showVal val="1"/>
              <c:showCatName val="0"/>
              <c:showSerName val="1"/>
              <c:showPercent val="0"/>
              <c:showBubbleSize val="0"/>
              <c:extLst>
                <c:ext xmlns:c15="http://schemas.microsoft.com/office/drawing/2012/chart" uri="{CE6537A1-D6FC-4f65-9D91-7224C49458BB}">
                  <c15:layout>
                    <c:manualLayout>
                      <c:w val="0.27219725329810396"/>
                      <c:h val="0.17340277777777777"/>
                    </c:manualLayout>
                  </c15:layout>
                </c:ext>
                <c:ext xmlns:c16="http://schemas.microsoft.com/office/drawing/2014/chart" uri="{C3380CC4-5D6E-409C-BE32-E72D297353CC}">
                  <c16:uniqueId val="{00000006-2118-44E3-B43E-0C83704F3C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Pivot!$P$14:$Q$14</c15:sqref>
                  </c15:fullRef>
                </c:ext>
              </c:extLst>
              <c:f>Pivot!$Q$14</c:f>
              <c:strCache>
                <c:ptCount val="1"/>
                <c:pt idx="0">
                  <c:v>HC%</c:v>
                </c:pt>
              </c:strCache>
            </c:strRef>
          </c:cat>
          <c:val>
            <c:numRef>
              <c:extLst>
                <c:ext xmlns:c15="http://schemas.microsoft.com/office/drawing/2012/chart" uri="{02D57815-91ED-43cb-92C2-25804820EDAC}">
                  <c15:fullRef>
                    <c15:sqref>Pivot!$P$16:$Q$16</c15:sqref>
                  </c15:fullRef>
                </c:ext>
              </c:extLst>
              <c:f>Pivot!$Q$16</c:f>
              <c:numCache>
                <c:formatCode>0%</c:formatCode>
                <c:ptCount val="1"/>
                <c:pt idx="0">
                  <c:v>0.17796610169491525</c:v>
                </c:pt>
              </c:numCache>
            </c:numRef>
          </c:val>
          <c:extLst>
            <c:ext xmlns:c16="http://schemas.microsoft.com/office/drawing/2014/chart" uri="{C3380CC4-5D6E-409C-BE32-E72D297353CC}">
              <c16:uniqueId val="{00000001-2118-44E3-B43E-0C83704F3CE6}"/>
            </c:ext>
          </c:extLst>
        </c:ser>
        <c:ser>
          <c:idx val="2"/>
          <c:order val="2"/>
          <c:tx>
            <c:strRef>
              <c:f>Pivot!$O$17</c:f>
              <c:strCache>
                <c:ptCount val="1"/>
                <c:pt idx="0">
                  <c:v>Professional</c:v>
                </c:pt>
              </c:strCache>
            </c:strRef>
          </c:tx>
          <c:spPr>
            <a:solidFill>
              <a:schemeClr val="accent3"/>
            </a:solidFill>
            <a:ln>
              <a:noFill/>
            </a:ln>
            <a:effectLst>
              <a:outerShdw blurRad="50800" dist="38100" dir="2700000" algn="tl" rotWithShape="0">
                <a:prstClr val="black">
                  <a:alpha val="40000"/>
                </a:prstClr>
              </a:outerShdw>
            </a:effectLst>
            <a:sp3d/>
          </c:spPr>
          <c:invertIfNegative val="0"/>
          <c:dLbls>
            <c:dLbl>
              <c:idx val="0"/>
              <c:layout>
                <c:manualLayout>
                  <c:x val="-0.32167873305301914"/>
                  <c:y val="-8.680555555555562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33551524040195752"/>
                      <c:h val="0.1732988845144357"/>
                    </c:manualLayout>
                  </c15:layout>
                </c:ext>
                <c:ext xmlns:c16="http://schemas.microsoft.com/office/drawing/2014/chart" uri="{C3380CC4-5D6E-409C-BE32-E72D297353CC}">
                  <c16:uniqueId val="{00000005-2118-44E3-B43E-0C83704F3C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Pivot!$P$14:$Q$14</c15:sqref>
                  </c15:fullRef>
                </c:ext>
              </c:extLst>
              <c:f>Pivot!$Q$14</c:f>
              <c:strCache>
                <c:ptCount val="1"/>
                <c:pt idx="0">
                  <c:v>HC%</c:v>
                </c:pt>
              </c:strCache>
            </c:strRef>
          </c:cat>
          <c:val>
            <c:numRef>
              <c:extLst>
                <c:ext xmlns:c15="http://schemas.microsoft.com/office/drawing/2012/chart" uri="{02D57815-91ED-43cb-92C2-25804820EDAC}">
                  <c15:fullRef>
                    <c15:sqref>Pivot!$P$17:$Q$17</c15:sqref>
                  </c15:fullRef>
                </c:ext>
              </c:extLst>
              <c:f>Pivot!$Q$17</c:f>
              <c:numCache>
                <c:formatCode>0%</c:formatCode>
                <c:ptCount val="1"/>
                <c:pt idx="0">
                  <c:v>0.36440677966101692</c:v>
                </c:pt>
              </c:numCache>
            </c:numRef>
          </c:val>
          <c:extLst>
            <c:ext xmlns:c16="http://schemas.microsoft.com/office/drawing/2014/chart" uri="{C3380CC4-5D6E-409C-BE32-E72D297353CC}">
              <c16:uniqueId val="{00000002-2118-44E3-B43E-0C83704F3CE6}"/>
            </c:ext>
          </c:extLst>
        </c:ser>
        <c:ser>
          <c:idx val="3"/>
          <c:order val="3"/>
          <c:tx>
            <c:strRef>
              <c:f>Pivot!$O$18</c:f>
              <c:strCache>
                <c:ptCount val="1"/>
                <c:pt idx="0">
                  <c:v>Trainees</c:v>
                </c:pt>
              </c:strCache>
            </c:strRef>
          </c:tx>
          <c:spPr>
            <a:solidFill>
              <a:schemeClr val="accent4"/>
            </a:solidFill>
            <a:ln>
              <a:noFill/>
            </a:ln>
            <a:effectLst>
              <a:outerShdw blurRad="50800" dist="38100" dir="2700000" algn="tl" rotWithShape="0">
                <a:prstClr val="black">
                  <a:alpha val="40000"/>
                </a:prstClr>
              </a:outerShdw>
            </a:effectLst>
            <a:sp3d/>
          </c:spPr>
          <c:invertIfNegative val="0"/>
          <c:dLbls>
            <c:dLbl>
              <c:idx val="0"/>
              <c:layout>
                <c:manualLayout>
                  <c:x val="-0.33246009157522877"/>
                  <c:y val="-4.861111111111114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2118-44E3-B43E-0C83704F3C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Pivot!$P$14:$Q$14</c15:sqref>
                  </c15:fullRef>
                </c:ext>
              </c:extLst>
              <c:f>Pivot!$Q$14</c:f>
              <c:strCache>
                <c:ptCount val="1"/>
                <c:pt idx="0">
                  <c:v>HC%</c:v>
                </c:pt>
              </c:strCache>
            </c:strRef>
          </c:cat>
          <c:val>
            <c:numRef>
              <c:extLst>
                <c:ext xmlns:c15="http://schemas.microsoft.com/office/drawing/2012/chart" uri="{02D57815-91ED-43cb-92C2-25804820EDAC}">
                  <c15:fullRef>
                    <c15:sqref>Pivot!$P$18:$Q$18</c15:sqref>
                  </c15:fullRef>
                </c:ext>
              </c:extLst>
              <c:f>Pivot!$Q$18</c:f>
              <c:numCache>
                <c:formatCode>0%</c:formatCode>
                <c:ptCount val="1"/>
                <c:pt idx="0">
                  <c:v>0.34745762711864409</c:v>
                </c:pt>
              </c:numCache>
            </c:numRef>
          </c:val>
          <c:extLst>
            <c:ext xmlns:c16="http://schemas.microsoft.com/office/drawing/2014/chart" uri="{C3380CC4-5D6E-409C-BE32-E72D297353CC}">
              <c16:uniqueId val="{00000003-2118-44E3-B43E-0C83704F3CE6}"/>
            </c:ext>
          </c:extLst>
        </c:ser>
        <c:dLbls>
          <c:showLegendKey val="0"/>
          <c:showVal val="1"/>
          <c:showCatName val="0"/>
          <c:showSerName val="0"/>
          <c:showPercent val="0"/>
          <c:showBubbleSize val="0"/>
        </c:dLbls>
        <c:gapWidth val="150"/>
        <c:shape val="pyramid"/>
        <c:axId val="1043599408"/>
        <c:axId val="1043597968"/>
        <c:axId val="0"/>
      </c:bar3DChart>
      <c:catAx>
        <c:axId val="1043599408"/>
        <c:scaling>
          <c:orientation val="minMax"/>
        </c:scaling>
        <c:delete val="1"/>
        <c:axPos val="b"/>
        <c:numFmt formatCode="General" sourceLinked="1"/>
        <c:majorTickMark val="out"/>
        <c:minorTickMark val="none"/>
        <c:tickLblPos val="nextTo"/>
        <c:crossAx val="1043597968"/>
        <c:crosses val="autoZero"/>
        <c:auto val="1"/>
        <c:lblAlgn val="ctr"/>
        <c:lblOffset val="100"/>
        <c:noMultiLvlLbl val="0"/>
      </c:catAx>
      <c:valAx>
        <c:axId val="1043597968"/>
        <c:scaling>
          <c:orientation val="minMax"/>
        </c:scaling>
        <c:delete val="1"/>
        <c:axPos val="l"/>
        <c:numFmt formatCode="General" sourceLinked="1"/>
        <c:majorTickMark val="out"/>
        <c:minorTickMark val="none"/>
        <c:tickLblPos val="nextTo"/>
        <c:crossAx val="1043599408"/>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111404600566266E-2"/>
          <c:y val="4.0856186481171189E-2"/>
          <c:w val="0.6098595088482448"/>
          <c:h val="0.96943035429689017"/>
        </c:manualLayout>
      </c:layout>
      <c:doughnutChart>
        <c:varyColors val="1"/>
        <c:ser>
          <c:idx val="1"/>
          <c:order val="1"/>
          <c:tx>
            <c:strRef>
              <c:f>Pivot!$U$14</c:f>
              <c:strCache>
                <c:ptCount val="1"/>
                <c:pt idx="0">
                  <c:v>HC%</c:v>
                </c:pt>
              </c:strCache>
            </c:strRef>
          </c:tx>
          <c:spPr>
            <a:ln>
              <a:noFill/>
            </a:ln>
            <a:effectLst>
              <a:outerShdw blurRad="50800" dist="38100" dir="2700000" algn="tl" rotWithShape="0">
                <a:prstClr val="black">
                  <a:alpha val="40000"/>
                </a:prstClr>
              </a:outerShdw>
            </a:effectLst>
          </c:spPr>
          <c:explosion val="6"/>
          <c:dPt>
            <c:idx val="0"/>
            <c:bubble3D val="0"/>
            <c:spPr>
              <a:solidFill>
                <a:schemeClr val="accent1"/>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8906-42E3-8F85-19F3BDC0E816}"/>
              </c:ext>
            </c:extLst>
          </c:dPt>
          <c:dPt>
            <c:idx val="1"/>
            <c:bubble3D val="0"/>
            <c:spPr>
              <a:solidFill>
                <a:schemeClr val="accent2"/>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8906-42E3-8F85-19F3BDC0E816}"/>
              </c:ext>
            </c:extLst>
          </c:dPt>
          <c:dPt>
            <c:idx val="2"/>
            <c:bubble3D val="0"/>
            <c:spPr>
              <a:solidFill>
                <a:schemeClr val="accent3"/>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8906-42E3-8F85-19F3BDC0E816}"/>
              </c:ext>
            </c:extLst>
          </c:dPt>
          <c:dPt>
            <c:idx val="3"/>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8906-42E3-8F85-19F3BDC0E816}"/>
              </c:ext>
            </c:extLst>
          </c:dPt>
          <c:dPt>
            <c:idx val="4"/>
            <c:bubble3D val="0"/>
            <c:spPr>
              <a:solidFill>
                <a:schemeClr val="accent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8906-42E3-8F85-19F3BDC0E816}"/>
              </c:ext>
            </c:extLst>
          </c:dPt>
          <c:dPt>
            <c:idx val="5"/>
            <c:bubble3D val="0"/>
            <c:spPr>
              <a:solidFill>
                <a:schemeClr val="accent6"/>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8906-42E3-8F85-19F3BDC0E816}"/>
              </c:ext>
            </c:extLst>
          </c:dPt>
          <c:dPt>
            <c:idx val="6"/>
            <c:bubble3D val="0"/>
            <c:spPr>
              <a:solidFill>
                <a:schemeClr val="accent1">
                  <a:lumMod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8906-42E3-8F85-19F3BDC0E8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Pivot!$S$15:$S$21</c:f>
              <c:strCache>
                <c:ptCount val="7"/>
                <c:pt idx="0">
                  <c:v>Accounting</c:v>
                </c:pt>
                <c:pt idx="1">
                  <c:v>Finance</c:v>
                </c:pt>
                <c:pt idx="2">
                  <c:v>HR</c:v>
                </c:pt>
                <c:pt idx="3">
                  <c:v>Legal</c:v>
                </c:pt>
                <c:pt idx="4">
                  <c:v>Marketing</c:v>
                </c:pt>
                <c:pt idx="5">
                  <c:v>Operations</c:v>
                </c:pt>
                <c:pt idx="6">
                  <c:v>Sales</c:v>
                </c:pt>
              </c:strCache>
            </c:strRef>
          </c:cat>
          <c:val>
            <c:numRef>
              <c:f>Pivot!$U$15:$U$21</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8906-42E3-8F85-19F3BDC0E816}"/>
            </c:ext>
          </c:extLst>
        </c:ser>
        <c:dLbls>
          <c:showLegendKey val="0"/>
          <c:showVal val="0"/>
          <c:showCatName val="0"/>
          <c:showSerName val="0"/>
          <c:showPercent val="0"/>
          <c:showBubbleSize val="0"/>
          <c:showLeaderLines val="1"/>
        </c:dLbls>
        <c:firstSliceAng val="0"/>
        <c:holeSize val="65"/>
        <c:extLst>
          <c:ext xmlns:c15="http://schemas.microsoft.com/office/drawing/2012/chart" uri="{02D57815-91ED-43cb-92C2-25804820EDAC}">
            <c15:filteredPieSeries>
              <c15:ser>
                <c:idx val="0"/>
                <c:order val="0"/>
                <c:tx>
                  <c:strRef>
                    <c:extLst>
                      <c:ext uri="{02D57815-91ED-43cb-92C2-25804820EDAC}">
                        <c15:formulaRef>
                          <c15:sqref>Pivot!$T$14</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8906-42E3-8F85-19F3BDC0E8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8906-42E3-8F85-19F3BDC0E81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8906-42E3-8F85-19F3BDC0E81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8906-42E3-8F85-19F3BDC0E81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8906-42E3-8F85-19F3BDC0E81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8906-42E3-8F85-19F3BDC0E81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8906-42E3-8F85-19F3BDC0E816}"/>
                    </c:ext>
                  </c:extLst>
                </c:dPt>
                <c:cat>
                  <c:strRef>
                    <c:extLst>
                      <c:ext uri="{02D57815-91ED-43cb-92C2-25804820EDAC}">
                        <c15:formulaRef>
                          <c15:sqref>Pivot!$S$15:$S$21</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Pivot!$T$15:$T$21</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8906-42E3-8F85-19F3BDC0E816}"/>
                  </c:ext>
                </c:extLst>
              </c15:ser>
            </c15:filteredPieSeries>
          </c:ext>
        </c:extLst>
      </c:doughnutChart>
      <c:spPr>
        <a:noFill/>
        <a:ln>
          <a:noFill/>
        </a:ln>
        <a:effectLst/>
      </c:spPr>
    </c:plotArea>
    <c:legend>
      <c:legendPos val="r"/>
      <c:layout>
        <c:manualLayout>
          <c:xMode val="edge"/>
          <c:yMode val="edge"/>
          <c:x val="0.69951348730184204"/>
          <c:y val="0.12363302908262422"/>
          <c:w val="0.27914012725471199"/>
          <c:h val="0.849611183176074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Pivot!$Z$15</c:f>
              <c:strCache>
                <c:ptCount val="1"/>
                <c:pt idx="0">
                  <c:v>Contract</c:v>
                </c:pt>
              </c:strCache>
            </c:strRef>
          </c:tx>
          <c:spPr>
            <a:solidFill>
              <a:schemeClr val="accent1"/>
            </a:solidFill>
            <a:ln>
              <a:noFill/>
            </a:ln>
            <a:effectLst>
              <a:outerShdw blurRad="50800" dist="38100" dir="2700000" algn="tl" rotWithShape="0">
                <a:prstClr val="black">
                  <a:alpha val="40000"/>
                </a:prstClr>
              </a:outerShdw>
            </a:effectLst>
          </c:spPr>
          <c:invertIfNegative val="0"/>
          <c:cat>
            <c:strRef>
              <c:extLst>
                <c:ext xmlns:c15="http://schemas.microsoft.com/office/drawing/2012/chart" uri="{02D57815-91ED-43cb-92C2-25804820EDAC}">
                  <c15:fullRef>
                    <c15:sqref>Pivot!$AA$14:$AB$14</c15:sqref>
                  </c15:fullRef>
                </c:ext>
              </c:extLst>
              <c:f>Pivot!$AB$14</c:f>
              <c:strCache>
                <c:ptCount val="1"/>
                <c:pt idx="0">
                  <c:v>HC%</c:v>
                </c:pt>
              </c:strCache>
            </c:strRef>
          </c:cat>
          <c:val>
            <c:numRef>
              <c:extLst>
                <c:ext xmlns:c15="http://schemas.microsoft.com/office/drawing/2012/chart" uri="{02D57815-91ED-43cb-92C2-25804820EDAC}">
                  <c15:fullRef>
                    <c15:sqref>Pivot!$AA$15:$AB$15</c15:sqref>
                  </c15:fullRef>
                </c:ext>
              </c:extLst>
              <c:f>Pivot!$AB$15</c:f>
              <c:numCache>
                <c:formatCode>0%</c:formatCode>
                <c:ptCount val="1"/>
                <c:pt idx="0">
                  <c:v>0.11016949152542373</c:v>
                </c:pt>
              </c:numCache>
            </c:numRef>
          </c:val>
          <c:extLst>
            <c:ext xmlns:c16="http://schemas.microsoft.com/office/drawing/2014/chart" uri="{C3380CC4-5D6E-409C-BE32-E72D297353CC}">
              <c16:uniqueId val="{00000000-9680-4973-AA53-0D8DCE617059}"/>
            </c:ext>
          </c:extLst>
        </c:ser>
        <c:ser>
          <c:idx val="1"/>
          <c:order val="1"/>
          <c:tx>
            <c:strRef>
              <c:f>Pivot!$Z$16</c:f>
              <c:strCache>
                <c:ptCount val="1"/>
                <c:pt idx="0">
                  <c:v>Permanent</c:v>
                </c:pt>
              </c:strCache>
            </c:strRef>
          </c:tx>
          <c:spPr>
            <a:solidFill>
              <a:schemeClr val="accent2"/>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Pivot!$AA$14:$AB$14</c15:sqref>
                  </c15:fullRef>
                </c:ext>
              </c:extLst>
              <c:f>Pivot!$AB$14</c:f>
              <c:strCache>
                <c:ptCount val="1"/>
                <c:pt idx="0">
                  <c:v>HC%</c:v>
                </c:pt>
              </c:strCache>
            </c:strRef>
          </c:cat>
          <c:val>
            <c:numRef>
              <c:extLst>
                <c:ext xmlns:c15="http://schemas.microsoft.com/office/drawing/2012/chart" uri="{02D57815-91ED-43cb-92C2-25804820EDAC}">
                  <c15:fullRef>
                    <c15:sqref>Pivot!$AA$16:$AB$16</c15:sqref>
                  </c15:fullRef>
                </c:ext>
              </c:extLst>
              <c:f>Pivot!$AB$16</c:f>
              <c:numCache>
                <c:formatCode>0%</c:formatCode>
                <c:ptCount val="1"/>
                <c:pt idx="0">
                  <c:v>0.88983050847457623</c:v>
                </c:pt>
              </c:numCache>
            </c:numRef>
          </c:val>
          <c:extLst>
            <c:ext xmlns:c16="http://schemas.microsoft.com/office/drawing/2014/chart" uri="{C3380CC4-5D6E-409C-BE32-E72D297353CC}">
              <c16:uniqueId val="{00000001-9680-4973-AA53-0D8DCE617059}"/>
            </c:ext>
          </c:extLst>
        </c:ser>
        <c:dLbls>
          <c:showLegendKey val="0"/>
          <c:showVal val="0"/>
          <c:showCatName val="0"/>
          <c:showSerName val="0"/>
          <c:showPercent val="0"/>
          <c:showBubbleSize val="0"/>
        </c:dLbls>
        <c:gapWidth val="122"/>
        <c:overlap val="100"/>
        <c:axId val="1245618336"/>
        <c:axId val="1245630816"/>
      </c:barChart>
      <c:catAx>
        <c:axId val="1245618336"/>
        <c:scaling>
          <c:orientation val="minMax"/>
        </c:scaling>
        <c:delete val="1"/>
        <c:axPos val="b"/>
        <c:numFmt formatCode="General" sourceLinked="1"/>
        <c:majorTickMark val="none"/>
        <c:minorTickMark val="none"/>
        <c:tickLblPos val="nextTo"/>
        <c:crossAx val="1245630816"/>
        <c:crosses val="autoZero"/>
        <c:auto val="1"/>
        <c:lblAlgn val="ctr"/>
        <c:lblOffset val="100"/>
        <c:noMultiLvlLbl val="0"/>
      </c:catAx>
      <c:valAx>
        <c:axId val="1245630816"/>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5618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419696528832355"/>
          <c:y val="9.1240311761839263E-2"/>
          <c:w val="0.75404019018391732"/>
          <c:h val="0.9022232638995511"/>
        </c:manualLayout>
      </c:layout>
      <c:barChart>
        <c:barDir val="bar"/>
        <c:grouping val="clustered"/>
        <c:varyColors val="0"/>
        <c:ser>
          <c:idx val="0"/>
          <c:order val="0"/>
          <c:tx>
            <c:strRef>
              <c:f>Pivot!$AE$14</c:f>
              <c:strCache>
                <c:ptCount val="1"/>
                <c:pt idx="0">
                  <c:v>HC</c:v>
                </c:pt>
              </c:strCache>
            </c:strRef>
          </c:tx>
          <c:spPr>
            <a:solidFill>
              <a:schemeClr val="accent1"/>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Pivot!$AD$15:$AD$20</c:f>
              <c:strCache>
                <c:ptCount val="6"/>
                <c:pt idx="0">
                  <c:v>5+ years</c:v>
                </c:pt>
                <c:pt idx="1">
                  <c:v>4+ years</c:v>
                </c:pt>
                <c:pt idx="2">
                  <c:v>3+ years</c:v>
                </c:pt>
                <c:pt idx="3">
                  <c:v>2+ years</c:v>
                </c:pt>
                <c:pt idx="4">
                  <c:v>1+ years</c:v>
                </c:pt>
                <c:pt idx="5">
                  <c:v>&lt;1 year</c:v>
                </c:pt>
              </c:strCache>
            </c:strRef>
          </c:cat>
          <c:val>
            <c:numRef>
              <c:f>Pivot!$AE$15:$AE$20</c:f>
              <c:numCache>
                <c:formatCode>General</c:formatCode>
                <c:ptCount val="6"/>
                <c:pt idx="0">
                  <c:v>28</c:v>
                </c:pt>
                <c:pt idx="1">
                  <c:v>16</c:v>
                </c:pt>
                <c:pt idx="2">
                  <c:v>18</c:v>
                </c:pt>
                <c:pt idx="3">
                  <c:v>44</c:v>
                </c:pt>
                <c:pt idx="4">
                  <c:v>10</c:v>
                </c:pt>
                <c:pt idx="5">
                  <c:v>2</c:v>
                </c:pt>
              </c:numCache>
            </c:numRef>
          </c:val>
          <c:extLst>
            <c:ext xmlns:c16="http://schemas.microsoft.com/office/drawing/2014/chart" uri="{C3380CC4-5D6E-409C-BE32-E72D297353CC}">
              <c16:uniqueId val="{00000000-A22B-4745-9EC2-B934BFFB40AD}"/>
            </c:ext>
          </c:extLst>
        </c:ser>
        <c:dLbls>
          <c:showLegendKey val="0"/>
          <c:showVal val="0"/>
          <c:showCatName val="0"/>
          <c:showSerName val="0"/>
          <c:showPercent val="0"/>
          <c:showBubbleSize val="0"/>
        </c:dLbls>
        <c:gapWidth val="50"/>
        <c:axId val="1250839472"/>
        <c:axId val="1250846192"/>
      </c:barChart>
      <c:catAx>
        <c:axId val="1250839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0846192"/>
        <c:crosses val="autoZero"/>
        <c:auto val="1"/>
        <c:lblAlgn val="ctr"/>
        <c:lblOffset val="100"/>
        <c:noMultiLvlLbl val="0"/>
      </c:catAx>
      <c:valAx>
        <c:axId val="125084619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508394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726865136781644E-2"/>
          <c:y val="0.15108058416741837"/>
          <c:w val="0.82063000654741214"/>
          <c:h val="0.69783883166516325"/>
        </c:manualLayout>
      </c:layout>
      <c:barChart>
        <c:barDir val="col"/>
        <c:grouping val="stacked"/>
        <c:varyColors val="0"/>
        <c:ser>
          <c:idx val="1"/>
          <c:order val="1"/>
          <c:tx>
            <c:strRef>
              <c:f>Pivot!$F$14</c:f>
              <c:strCache>
                <c:ptCount val="1"/>
                <c:pt idx="0">
                  <c:v>Attrition</c:v>
                </c:pt>
              </c:strCache>
            </c:strRef>
          </c:tx>
          <c:spPr>
            <a:solidFill>
              <a:srgbClr val="F466C8"/>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Pivot!$E$15:$E$20</c:f>
              <c:numCache>
                <c:formatCode>General</c:formatCode>
                <c:ptCount val="6"/>
                <c:pt idx="0">
                  <c:v>2020</c:v>
                </c:pt>
                <c:pt idx="1">
                  <c:v>2021</c:v>
                </c:pt>
                <c:pt idx="2">
                  <c:v>2022</c:v>
                </c:pt>
                <c:pt idx="3">
                  <c:v>2023</c:v>
                </c:pt>
                <c:pt idx="4">
                  <c:v>2024</c:v>
                </c:pt>
                <c:pt idx="5">
                  <c:v>2025</c:v>
                </c:pt>
              </c:numCache>
            </c:numRef>
          </c:cat>
          <c:val>
            <c:numRef>
              <c:f>Pivot!$F$15:$F$20</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6BA7-47FE-8191-535B3FD968F3}"/>
            </c:ext>
          </c:extLst>
        </c:ser>
        <c:ser>
          <c:idx val="2"/>
          <c:order val="2"/>
          <c:tx>
            <c:strRef>
              <c:f>Pivot!$G$14</c:f>
              <c:strCache>
                <c:ptCount val="1"/>
                <c:pt idx="0">
                  <c:v>On-Board</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Pivot!$E$15:$E$20</c:f>
              <c:numCache>
                <c:formatCode>General</c:formatCode>
                <c:ptCount val="6"/>
                <c:pt idx="0">
                  <c:v>2020</c:v>
                </c:pt>
                <c:pt idx="1">
                  <c:v>2021</c:v>
                </c:pt>
                <c:pt idx="2">
                  <c:v>2022</c:v>
                </c:pt>
                <c:pt idx="3">
                  <c:v>2023</c:v>
                </c:pt>
                <c:pt idx="4">
                  <c:v>2024</c:v>
                </c:pt>
                <c:pt idx="5">
                  <c:v>2025</c:v>
                </c:pt>
              </c:numCache>
            </c:numRef>
          </c:cat>
          <c:val>
            <c:numRef>
              <c:f>Pivot!$G$15:$G$20</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6BA7-47FE-8191-535B3FD968F3}"/>
            </c:ext>
          </c:extLst>
        </c:ser>
        <c:ser>
          <c:idx val="3"/>
          <c:order val="3"/>
          <c:tx>
            <c:strRef>
              <c:f>Pivot!$H$14</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Pivot!$E$15:$E$20</c:f>
              <c:numCache>
                <c:formatCode>General</c:formatCode>
                <c:ptCount val="6"/>
                <c:pt idx="0">
                  <c:v>2020</c:v>
                </c:pt>
                <c:pt idx="1">
                  <c:v>2021</c:v>
                </c:pt>
                <c:pt idx="2">
                  <c:v>2022</c:v>
                </c:pt>
                <c:pt idx="3">
                  <c:v>2023</c:v>
                </c:pt>
                <c:pt idx="4">
                  <c:v>2024</c:v>
                </c:pt>
                <c:pt idx="5">
                  <c:v>2025</c:v>
                </c:pt>
              </c:numCache>
            </c:numRef>
          </c:cat>
          <c:val>
            <c:numRef>
              <c:f>Pivot!$H$15:$H$20</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6BA7-47FE-8191-535B3FD968F3}"/>
            </c:ext>
          </c:extLst>
        </c:ser>
        <c:dLbls>
          <c:showLegendKey val="0"/>
          <c:showVal val="1"/>
          <c:showCatName val="0"/>
          <c:showSerName val="0"/>
          <c:showPercent val="0"/>
          <c:showBubbleSize val="0"/>
        </c:dLbls>
        <c:gapWidth val="65"/>
        <c:overlap val="100"/>
        <c:axId val="1919010224"/>
        <c:axId val="1919000144"/>
        <c:extLst>
          <c:ext xmlns:c15="http://schemas.microsoft.com/office/drawing/2012/chart" uri="{02D57815-91ED-43cb-92C2-25804820EDAC}">
            <c15:filteredBarSeries>
              <c15:ser>
                <c:idx val="0"/>
                <c:order val="0"/>
                <c:tx>
                  <c:strRef>
                    <c:extLst>
                      <c:ext uri="{02D57815-91ED-43cb-92C2-25804820EDAC}">
                        <c15:formulaRef>
                          <c15:sqref>Pivot!$E$14</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Pivot!$E$15:$E$20</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Pivot!$E$15:$E$20</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5-6BA7-47FE-8191-535B3FD968F3}"/>
                  </c:ext>
                </c:extLst>
              </c15:ser>
            </c15:filteredBarSeries>
          </c:ext>
        </c:extLst>
      </c:barChart>
      <c:lineChart>
        <c:grouping val="stacked"/>
        <c:varyColors val="0"/>
        <c:ser>
          <c:idx val="4"/>
          <c:order val="4"/>
          <c:tx>
            <c:strRef>
              <c:f>Pivot!$I$14</c:f>
              <c:strCache>
                <c:ptCount val="1"/>
                <c:pt idx="0">
                  <c:v>Total</c:v>
                </c:pt>
              </c:strCache>
            </c:strRef>
          </c:tx>
          <c:spPr>
            <a:ln w="28575" cap="rnd">
              <a:solidFill>
                <a:schemeClr val="accent5"/>
              </a:solidFill>
              <a:round/>
            </a:ln>
            <a:effectLst/>
          </c:spPr>
          <c:marker>
            <c:symbol val="none"/>
          </c:marker>
          <c:dLbls>
            <c:dLbl>
              <c:idx val="4"/>
              <c:layout>
                <c:manualLayout>
                  <c:x val="-4.5648126443192445E-2"/>
                  <c:y val="-8.467823285593359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A7-47FE-8191-535B3FD968F3}"/>
                </c:ext>
              </c:extLst>
            </c:dLbl>
            <c:spPr>
              <a:solidFill>
                <a:srgbClr val="7266E0"/>
              </a:solid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Pivot!$I$15:$I$20</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4-6BA7-47FE-8191-535B3FD968F3}"/>
            </c:ext>
          </c:extLst>
        </c:ser>
        <c:dLbls>
          <c:showLegendKey val="0"/>
          <c:showVal val="1"/>
          <c:showCatName val="0"/>
          <c:showSerName val="0"/>
          <c:showPercent val="0"/>
          <c:showBubbleSize val="0"/>
        </c:dLbls>
        <c:marker val="1"/>
        <c:smooth val="0"/>
        <c:axId val="1919000624"/>
        <c:axId val="1919013104"/>
      </c:lineChart>
      <c:catAx>
        <c:axId val="19190102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9000144"/>
        <c:crosses val="autoZero"/>
        <c:auto val="1"/>
        <c:lblAlgn val="ctr"/>
        <c:lblOffset val="100"/>
        <c:noMultiLvlLbl val="0"/>
      </c:catAx>
      <c:valAx>
        <c:axId val="19190001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9010224"/>
        <c:crosses val="autoZero"/>
        <c:crossBetween val="between"/>
      </c:valAx>
      <c:valAx>
        <c:axId val="19190131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9000624"/>
        <c:crosses val="max"/>
        <c:crossBetween val="between"/>
      </c:valAx>
      <c:catAx>
        <c:axId val="1919000624"/>
        <c:scaling>
          <c:orientation val="minMax"/>
        </c:scaling>
        <c:delete val="0"/>
        <c:axPos val="t"/>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9013104"/>
        <c:crosses val="max"/>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82785589288144"/>
          <c:y val="8.9143412023269711E-2"/>
          <c:w val="0.53563941548571581"/>
          <c:h val="0.74671806094523252"/>
        </c:manualLayout>
      </c:layout>
      <c:doughnutChart>
        <c:varyColors val="1"/>
        <c:ser>
          <c:idx val="0"/>
          <c:order val="0"/>
          <c:spPr>
            <a:ln>
              <a:noFill/>
            </a:ln>
            <a:effectLst>
              <a:outerShdw blurRad="50800" dist="38100" dir="2700000" algn="tl" rotWithShape="0">
                <a:prstClr val="black">
                  <a:alpha val="40000"/>
                </a:prstClr>
              </a:outerShdw>
            </a:effectLst>
          </c:spPr>
          <c:dPt>
            <c:idx val="0"/>
            <c:bubble3D val="0"/>
            <c:spPr>
              <a:solidFill>
                <a:srgbClr val="FF00FF"/>
              </a:solidFill>
              <a:ln w="3175">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B0B0-43DF-85CE-D88B1B96407F}"/>
              </c:ext>
            </c:extLst>
          </c:dPt>
          <c:dPt>
            <c:idx val="1"/>
            <c:bubble3D val="0"/>
            <c:spPr>
              <a:solidFill>
                <a:schemeClr val="accent4">
                  <a:lumMod val="7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B0B0-43DF-85CE-D88B1B96407F}"/>
              </c:ext>
            </c:extLst>
          </c:dPt>
          <c:dLbls>
            <c:dLbl>
              <c:idx val="0"/>
              <c:layout>
                <c:manualLayout>
                  <c:x val="-0.32548068366200233"/>
                  <c:y val="-0.28874446745190185"/>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fld id="{578E238D-F73D-425D-BBE4-E3D1E6EAEC82}" type="CATEGORYNAME">
                      <a:rPr lang="en-US"/>
                      <a:pPr>
                        <a:defRPr>
                          <a:solidFill>
                            <a:schemeClr val="bg1"/>
                          </a:solidFill>
                        </a:defRPr>
                      </a:pPr>
                      <a:t>[CATEGORY NAME]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15:layout>
                    <c:manualLayout>
                      <c:w val="0.15825199399600259"/>
                      <c:h val="0.21147737003902875"/>
                    </c:manualLayout>
                  </c15:layout>
                  <c15:dlblFieldTable/>
                  <c15:showDataLabelsRange val="0"/>
                </c:ext>
                <c:ext xmlns:c16="http://schemas.microsoft.com/office/drawing/2014/chart" uri="{C3380CC4-5D6E-409C-BE32-E72D297353CC}">
                  <c16:uniqueId val="{00000001-B0B0-43DF-85CE-D88B1B96407F}"/>
                </c:ext>
              </c:extLst>
            </c:dLbl>
            <c:dLbl>
              <c:idx val="1"/>
              <c:layout>
                <c:manualLayout>
                  <c:x val="-0.30508854315298173"/>
                  <c:y val="9.9840119155202245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fld id="{0C84E4B5-8B5F-49C1-BCAA-345CBEFB075C}" type="CATEGORYNAME">
                      <a:rPr lang="en-US">
                        <a:solidFill>
                          <a:schemeClr val="bg1"/>
                        </a:solidFill>
                      </a:rPr>
                      <a:pPr>
                        <a:defRPr>
                          <a:solidFill>
                            <a:schemeClr val="bg1"/>
                          </a:solidFill>
                        </a:defRPr>
                      </a:pPr>
                      <a:t>[CATEGORY NAME]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15:layout>
                    <c:manualLayout>
                      <c:w val="0.16547461643020542"/>
                      <c:h val="0.14092177282826171"/>
                    </c:manualLayout>
                  </c15:layout>
                  <c15:dlblFieldTable/>
                  <c15:showDataLabelsRange val="0"/>
                </c:ext>
                <c:ext xmlns:c16="http://schemas.microsoft.com/office/drawing/2014/chart" uri="{C3380CC4-5D6E-409C-BE32-E72D297353CC}">
                  <c16:uniqueId val="{00000003-B0B0-43DF-85CE-D88B1B9640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Pivot!$K$15:$K$16</c:f>
              <c:strCache>
                <c:ptCount val="2"/>
                <c:pt idx="0">
                  <c:v>Female</c:v>
                </c:pt>
                <c:pt idx="1">
                  <c:v>Male</c:v>
                </c:pt>
              </c:strCache>
            </c:strRef>
          </c:cat>
          <c:val>
            <c:numRef>
              <c:f>Pivot!$L$15:$L$16</c:f>
              <c:numCache>
                <c:formatCode>General</c:formatCode>
                <c:ptCount val="2"/>
                <c:pt idx="0">
                  <c:v>45</c:v>
                </c:pt>
                <c:pt idx="1">
                  <c:v>73</c:v>
                </c:pt>
              </c:numCache>
            </c:numRef>
          </c:val>
          <c:extLst>
            <c:ext xmlns:c16="http://schemas.microsoft.com/office/drawing/2014/chart" uri="{C3380CC4-5D6E-409C-BE32-E72D297353CC}">
              <c16:uniqueId val="{00000004-B0B0-43DF-85CE-D88B1B96407F}"/>
            </c:ext>
          </c:extLst>
        </c:ser>
        <c:dLbls>
          <c:showLegendKey val="0"/>
          <c:showVal val="0"/>
          <c:showCatName val="0"/>
          <c:showSerName val="0"/>
          <c:showPercent val="0"/>
          <c:showBubbleSize val="0"/>
          <c:showLeaderLines val="1"/>
        </c:dLbls>
        <c:firstSliceAng val="101"/>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outerShdw blurRad="50800" dist="38100" dir="2700000" algn="tl" rotWithShape="0">
            <a:prstClr val="black">
              <a:alpha val="40000"/>
            </a:prstClr>
          </a:outerShdw>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671768909849751"/>
          <c:y val="6.9793348549739148E-2"/>
          <c:w val="0.73912184309378082"/>
          <c:h val="0.91015518145984031"/>
        </c:manualLayout>
      </c:layout>
      <c:bar3DChart>
        <c:barDir val="col"/>
        <c:grouping val="stacked"/>
        <c:varyColors val="0"/>
        <c:ser>
          <c:idx val="0"/>
          <c:order val="0"/>
          <c:tx>
            <c:strRef>
              <c:f>Pivot!$O$15</c:f>
              <c:strCache>
                <c:ptCount val="1"/>
                <c:pt idx="0">
                  <c:v>Contract</c:v>
                </c:pt>
              </c:strCache>
            </c:strRef>
          </c:tx>
          <c:spPr>
            <a:solidFill>
              <a:srgbClr val="FF00FF"/>
            </a:solidFill>
            <a:ln>
              <a:noFill/>
            </a:ln>
            <a:effectLst>
              <a:outerShdw blurRad="50800" dist="38100" dir="2700000" algn="tl" rotWithShape="0">
                <a:prstClr val="black">
                  <a:alpha val="40000"/>
                </a:prstClr>
              </a:outerShdw>
            </a:effectLst>
            <a:sp3d/>
          </c:spPr>
          <c:invertIfNegative val="0"/>
          <c:dLbls>
            <c:dLbl>
              <c:idx val="0"/>
              <c:layout>
                <c:manualLayout>
                  <c:x val="-0.36297679707576391"/>
                  <c:y val="5.5555555555555552E-2"/>
                </c:manualLayout>
              </c:layout>
              <c:showLegendKey val="0"/>
              <c:showVal val="1"/>
              <c:showCatName val="0"/>
              <c:showSerName val="1"/>
              <c:showPercent val="0"/>
              <c:showBubbleSize val="0"/>
              <c:extLst>
                <c:ext xmlns:c15="http://schemas.microsoft.com/office/drawing/2012/chart" uri="{CE6537A1-D6FC-4f65-9D91-7224C49458BB}">
                  <c15:layout>
                    <c:manualLayout>
                      <c:w val="0.28174741586203278"/>
                      <c:h val="0.17340277777777777"/>
                    </c:manualLayout>
                  </c15:layout>
                </c:ext>
                <c:ext xmlns:c16="http://schemas.microsoft.com/office/drawing/2014/chart" uri="{C3380CC4-5D6E-409C-BE32-E72D297353CC}">
                  <c16:uniqueId val="{00000000-FAE3-4BF7-B702-4F8280583D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Pivot!$P$14:$Q$14</c15:sqref>
                  </c15:fullRef>
                </c:ext>
              </c:extLst>
              <c:f>Pivot!$Q$14</c:f>
              <c:strCache>
                <c:ptCount val="1"/>
                <c:pt idx="0">
                  <c:v>HC%</c:v>
                </c:pt>
              </c:strCache>
            </c:strRef>
          </c:cat>
          <c:val>
            <c:numRef>
              <c:extLst>
                <c:ext xmlns:c15="http://schemas.microsoft.com/office/drawing/2012/chart" uri="{02D57815-91ED-43cb-92C2-25804820EDAC}">
                  <c15:fullRef>
                    <c15:sqref>Pivot!$P$15:$Q$15</c15:sqref>
                  </c15:fullRef>
                </c:ext>
              </c:extLst>
              <c:f>Pivot!$Q$15</c:f>
              <c:numCache>
                <c:formatCode>0%</c:formatCode>
                <c:ptCount val="1"/>
                <c:pt idx="0">
                  <c:v>0.11016949152542373</c:v>
                </c:pt>
              </c:numCache>
            </c:numRef>
          </c:val>
          <c:extLst>
            <c:ext xmlns:c16="http://schemas.microsoft.com/office/drawing/2014/chart" uri="{C3380CC4-5D6E-409C-BE32-E72D297353CC}">
              <c16:uniqueId val="{00000001-FAE3-4BF7-B702-4F8280583DB0}"/>
            </c:ext>
          </c:extLst>
        </c:ser>
        <c:ser>
          <c:idx val="1"/>
          <c:order val="1"/>
          <c:tx>
            <c:strRef>
              <c:f>Pivot!$O$16</c:f>
              <c:strCache>
                <c:ptCount val="1"/>
                <c:pt idx="0">
                  <c:v>Management</c:v>
                </c:pt>
              </c:strCache>
            </c:strRef>
          </c:tx>
          <c:spPr>
            <a:solidFill>
              <a:srgbClr val="7030A0"/>
            </a:solidFill>
            <a:ln>
              <a:noFill/>
            </a:ln>
            <a:effectLst>
              <a:outerShdw blurRad="50800" dist="38100" dir="2700000" algn="tl" rotWithShape="0">
                <a:prstClr val="black">
                  <a:alpha val="40000"/>
                </a:prstClr>
              </a:outerShdw>
            </a:effectLst>
            <a:sp3d/>
          </c:spPr>
          <c:invertIfNegative val="0"/>
          <c:dLbls>
            <c:dLbl>
              <c:idx val="0"/>
              <c:layout>
                <c:manualLayout>
                  <c:x val="-0.30545496280829726"/>
                  <c:y val="-4.8611084831102748E-2"/>
                </c:manualLayout>
              </c:layout>
              <c:showLegendKey val="0"/>
              <c:showVal val="1"/>
              <c:showCatName val="0"/>
              <c:showSerName val="1"/>
              <c:showPercent val="0"/>
              <c:showBubbleSize val="0"/>
              <c:extLst>
                <c:ext xmlns:c15="http://schemas.microsoft.com/office/drawing/2012/chart" uri="{CE6537A1-D6FC-4f65-9D91-7224C49458BB}">
                  <c15:layout>
                    <c:manualLayout>
                      <c:w val="0.30266328142827714"/>
                      <c:h val="0.17340283033779449"/>
                    </c:manualLayout>
                  </c15:layout>
                </c:ext>
                <c:ext xmlns:c16="http://schemas.microsoft.com/office/drawing/2014/chart" uri="{C3380CC4-5D6E-409C-BE32-E72D297353CC}">
                  <c16:uniqueId val="{00000002-FAE3-4BF7-B702-4F8280583D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Pivot!$P$14:$Q$14</c15:sqref>
                  </c15:fullRef>
                </c:ext>
              </c:extLst>
              <c:f>Pivot!$Q$14</c:f>
              <c:strCache>
                <c:ptCount val="1"/>
                <c:pt idx="0">
                  <c:v>HC%</c:v>
                </c:pt>
              </c:strCache>
            </c:strRef>
          </c:cat>
          <c:val>
            <c:numRef>
              <c:extLst>
                <c:ext xmlns:c15="http://schemas.microsoft.com/office/drawing/2012/chart" uri="{02D57815-91ED-43cb-92C2-25804820EDAC}">
                  <c15:fullRef>
                    <c15:sqref>Pivot!$P$16:$Q$16</c15:sqref>
                  </c15:fullRef>
                </c:ext>
              </c:extLst>
              <c:f>Pivot!$Q$16</c:f>
              <c:numCache>
                <c:formatCode>0%</c:formatCode>
                <c:ptCount val="1"/>
                <c:pt idx="0">
                  <c:v>0.17796610169491525</c:v>
                </c:pt>
              </c:numCache>
            </c:numRef>
          </c:val>
          <c:extLst>
            <c:ext xmlns:c16="http://schemas.microsoft.com/office/drawing/2014/chart" uri="{C3380CC4-5D6E-409C-BE32-E72D297353CC}">
              <c16:uniqueId val="{00000003-FAE3-4BF7-B702-4F8280583DB0}"/>
            </c:ext>
          </c:extLst>
        </c:ser>
        <c:ser>
          <c:idx val="2"/>
          <c:order val="2"/>
          <c:tx>
            <c:strRef>
              <c:f>Pivot!$O$17</c:f>
              <c:strCache>
                <c:ptCount val="1"/>
                <c:pt idx="0">
                  <c:v>Professional</c:v>
                </c:pt>
              </c:strCache>
            </c:strRef>
          </c:tx>
          <c:spPr>
            <a:solidFill>
              <a:schemeClr val="accent4">
                <a:lumMod val="50000"/>
              </a:schemeClr>
            </a:solidFill>
            <a:ln>
              <a:noFill/>
            </a:ln>
            <a:effectLst>
              <a:outerShdw blurRad="50800" dist="38100" dir="2700000" algn="tl" rotWithShape="0">
                <a:prstClr val="black">
                  <a:alpha val="40000"/>
                </a:prstClr>
              </a:outerShdw>
            </a:effectLst>
            <a:sp3d/>
          </c:spPr>
          <c:invertIfNegative val="0"/>
          <c:dLbls>
            <c:dLbl>
              <c:idx val="0"/>
              <c:layout>
                <c:manualLayout>
                  <c:x val="-0.32167873305301914"/>
                  <c:y val="-8.680555555555562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33551524040195752"/>
                      <c:h val="0.1732988845144357"/>
                    </c:manualLayout>
                  </c15:layout>
                </c:ext>
                <c:ext xmlns:c16="http://schemas.microsoft.com/office/drawing/2014/chart" uri="{C3380CC4-5D6E-409C-BE32-E72D297353CC}">
                  <c16:uniqueId val="{00000004-FAE3-4BF7-B702-4F8280583D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Pivot!$P$14:$Q$14</c15:sqref>
                  </c15:fullRef>
                </c:ext>
              </c:extLst>
              <c:f>Pivot!$Q$14</c:f>
              <c:strCache>
                <c:ptCount val="1"/>
                <c:pt idx="0">
                  <c:v>HC%</c:v>
                </c:pt>
              </c:strCache>
            </c:strRef>
          </c:cat>
          <c:val>
            <c:numRef>
              <c:extLst>
                <c:ext xmlns:c15="http://schemas.microsoft.com/office/drawing/2012/chart" uri="{02D57815-91ED-43cb-92C2-25804820EDAC}">
                  <c15:fullRef>
                    <c15:sqref>Pivot!$P$17:$Q$17</c15:sqref>
                  </c15:fullRef>
                </c:ext>
              </c:extLst>
              <c:f>Pivot!$Q$17</c:f>
              <c:numCache>
                <c:formatCode>0%</c:formatCode>
                <c:ptCount val="1"/>
                <c:pt idx="0">
                  <c:v>0.36440677966101692</c:v>
                </c:pt>
              </c:numCache>
            </c:numRef>
          </c:val>
          <c:extLst>
            <c:ext xmlns:c16="http://schemas.microsoft.com/office/drawing/2014/chart" uri="{C3380CC4-5D6E-409C-BE32-E72D297353CC}">
              <c16:uniqueId val="{00000005-FAE3-4BF7-B702-4F8280583DB0}"/>
            </c:ext>
          </c:extLst>
        </c:ser>
        <c:ser>
          <c:idx val="3"/>
          <c:order val="3"/>
          <c:tx>
            <c:strRef>
              <c:f>Pivot!$O$18</c:f>
              <c:strCache>
                <c:ptCount val="1"/>
                <c:pt idx="0">
                  <c:v>Trainees</c:v>
                </c:pt>
              </c:strCache>
            </c:strRef>
          </c:tx>
          <c:spPr>
            <a:solidFill>
              <a:schemeClr val="accent4"/>
            </a:solidFill>
            <a:ln>
              <a:noFill/>
            </a:ln>
            <a:effectLst>
              <a:outerShdw blurRad="50800" dist="38100" dir="2700000" algn="tl" rotWithShape="0">
                <a:prstClr val="black">
                  <a:alpha val="40000"/>
                </a:prstClr>
              </a:outerShdw>
            </a:effectLst>
            <a:sp3d/>
          </c:spPr>
          <c:invertIfNegative val="0"/>
          <c:dLbls>
            <c:dLbl>
              <c:idx val="0"/>
              <c:layout>
                <c:manualLayout>
                  <c:x val="-0.33246009157522877"/>
                  <c:y val="-4.861111111111114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FAE3-4BF7-B702-4F8280583D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Pivot!$P$14:$Q$14</c15:sqref>
                  </c15:fullRef>
                </c:ext>
              </c:extLst>
              <c:f>Pivot!$Q$14</c:f>
              <c:strCache>
                <c:ptCount val="1"/>
                <c:pt idx="0">
                  <c:v>HC%</c:v>
                </c:pt>
              </c:strCache>
            </c:strRef>
          </c:cat>
          <c:val>
            <c:numRef>
              <c:extLst>
                <c:ext xmlns:c15="http://schemas.microsoft.com/office/drawing/2012/chart" uri="{02D57815-91ED-43cb-92C2-25804820EDAC}">
                  <c15:fullRef>
                    <c15:sqref>Pivot!$P$18:$Q$18</c15:sqref>
                  </c15:fullRef>
                </c:ext>
              </c:extLst>
              <c:f>Pivot!$Q$18</c:f>
              <c:numCache>
                <c:formatCode>0%</c:formatCode>
                <c:ptCount val="1"/>
                <c:pt idx="0">
                  <c:v>0.34745762711864409</c:v>
                </c:pt>
              </c:numCache>
            </c:numRef>
          </c:val>
          <c:extLst>
            <c:ext xmlns:c16="http://schemas.microsoft.com/office/drawing/2014/chart" uri="{C3380CC4-5D6E-409C-BE32-E72D297353CC}">
              <c16:uniqueId val="{00000007-FAE3-4BF7-B702-4F8280583DB0}"/>
            </c:ext>
          </c:extLst>
        </c:ser>
        <c:dLbls>
          <c:showLegendKey val="0"/>
          <c:showVal val="1"/>
          <c:showCatName val="0"/>
          <c:showSerName val="0"/>
          <c:showPercent val="0"/>
          <c:showBubbleSize val="0"/>
        </c:dLbls>
        <c:gapWidth val="150"/>
        <c:shape val="pyramid"/>
        <c:axId val="1043599408"/>
        <c:axId val="1043597968"/>
        <c:axId val="0"/>
      </c:bar3DChart>
      <c:catAx>
        <c:axId val="1043599408"/>
        <c:scaling>
          <c:orientation val="minMax"/>
        </c:scaling>
        <c:delete val="1"/>
        <c:axPos val="b"/>
        <c:numFmt formatCode="General" sourceLinked="1"/>
        <c:majorTickMark val="out"/>
        <c:minorTickMark val="none"/>
        <c:tickLblPos val="nextTo"/>
        <c:crossAx val="1043597968"/>
        <c:crosses val="autoZero"/>
        <c:auto val="1"/>
        <c:lblAlgn val="ctr"/>
        <c:lblOffset val="100"/>
        <c:noMultiLvlLbl val="0"/>
      </c:catAx>
      <c:valAx>
        <c:axId val="1043597968"/>
        <c:scaling>
          <c:orientation val="minMax"/>
        </c:scaling>
        <c:delete val="1"/>
        <c:axPos val="l"/>
        <c:numFmt formatCode="General" sourceLinked="1"/>
        <c:majorTickMark val="out"/>
        <c:minorTickMark val="none"/>
        <c:tickLblPos val="nextTo"/>
        <c:crossAx val="10435994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Pivot!$Z$15</c:f>
              <c:strCache>
                <c:ptCount val="1"/>
                <c:pt idx="0">
                  <c:v>Contract</c:v>
                </c:pt>
              </c:strCache>
            </c:strRef>
          </c:tx>
          <c:spPr>
            <a:solidFill>
              <a:srgbClr val="FF00FF"/>
            </a:solidFill>
            <a:ln>
              <a:noFill/>
            </a:ln>
            <a:effectLst>
              <a:outerShdw blurRad="50800" dist="38100" dir="2700000" algn="tl" rotWithShape="0">
                <a:prstClr val="black">
                  <a:alpha val="40000"/>
                </a:prstClr>
              </a:outerShdw>
            </a:effectLst>
          </c:spPr>
          <c:invertIfNegative val="0"/>
          <c:cat>
            <c:strRef>
              <c:extLst>
                <c:ext xmlns:c15="http://schemas.microsoft.com/office/drawing/2012/chart" uri="{02D57815-91ED-43cb-92C2-25804820EDAC}">
                  <c15:fullRef>
                    <c15:sqref>Pivot!$AA$14:$AB$14</c15:sqref>
                  </c15:fullRef>
                </c:ext>
              </c:extLst>
              <c:f>Pivot!$AB$14</c:f>
              <c:strCache>
                <c:ptCount val="1"/>
                <c:pt idx="0">
                  <c:v>HC%</c:v>
                </c:pt>
              </c:strCache>
            </c:strRef>
          </c:cat>
          <c:val>
            <c:numRef>
              <c:extLst>
                <c:ext xmlns:c15="http://schemas.microsoft.com/office/drawing/2012/chart" uri="{02D57815-91ED-43cb-92C2-25804820EDAC}">
                  <c15:fullRef>
                    <c15:sqref>Pivot!$AA$15:$AB$15</c15:sqref>
                  </c15:fullRef>
                </c:ext>
              </c:extLst>
              <c:f>Pivot!$AB$15</c:f>
              <c:numCache>
                <c:formatCode>0%</c:formatCode>
                <c:ptCount val="1"/>
                <c:pt idx="0">
                  <c:v>0.11016949152542373</c:v>
                </c:pt>
              </c:numCache>
            </c:numRef>
          </c:val>
          <c:extLst>
            <c:ext xmlns:c16="http://schemas.microsoft.com/office/drawing/2014/chart" uri="{C3380CC4-5D6E-409C-BE32-E72D297353CC}">
              <c16:uniqueId val="{00000000-AF29-4A76-92C4-30D8E6F11FDB}"/>
            </c:ext>
          </c:extLst>
        </c:ser>
        <c:ser>
          <c:idx val="1"/>
          <c:order val="1"/>
          <c:tx>
            <c:strRef>
              <c:f>Pivot!$Z$16</c:f>
              <c:strCache>
                <c:ptCount val="1"/>
                <c:pt idx="0">
                  <c:v>Permanent</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Pivot!$AA$14:$AB$14</c15:sqref>
                  </c15:fullRef>
                </c:ext>
              </c:extLst>
              <c:f>Pivot!$AB$14</c:f>
              <c:strCache>
                <c:ptCount val="1"/>
                <c:pt idx="0">
                  <c:v>HC%</c:v>
                </c:pt>
              </c:strCache>
            </c:strRef>
          </c:cat>
          <c:val>
            <c:numRef>
              <c:extLst>
                <c:ext xmlns:c15="http://schemas.microsoft.com/office/drawing/2012/chart" uri="{02D57815-91ED-43cb-92C2-25804820EDAC}">
                  <c15:fullRef>
                    <c15:sqref>Pivot!$AA$16:$AB$16</c15:sqref>
                  </c15:fullRef>
                </c:ext>
              </c:extLst>
              <c:f>Pivot!$AB$16</c:f>
              <c:numCache>
                <c:formatCode>0%</c:formatCode>
                <c:ptCount val="1"/>
                <c:pt idx="0">
                  <c:v>0.88983050847457623</c:v>
                </c:pt>
              </c:numCache>
            </c:numRef>
          </c:val>
          <c:extLst>
            <c:ext xmlns:c16="http://schemas.microsoft.com/office/drawing/2014/chart" uri="{C3380CC4-5D6E-409C-BE32-E72D297353CC}">
              <c16:uniqueId val="{00000001-AF29-4A76-92C4-30D8E6F11FDB}"/>
            </c:ext>
          </c:extLst>
        </c:ser>
        <c:dLbls>
          <c:showLegendKey val="0"/>
          <c:showVal val="0"/>
          <c:showCatName val="0"/>
          <c:showSerName val="0"/>
          <c:showPercent val="0"/>
          <c:showBubbleSize val="0"/>
        </c:dLbls>
        <c:gapWidth val="122"/>
        <c:overlap val="100"/>
        <c:axId val="1245618336"/>
        <c:axId val="1245630816"/>
      </c:barChart>
      <c:catAx>
        <c:axId val="1245618336"/>
        <c:scaling>
          <c:orientation val="minMax"/>
        </c:scaling>
        <c:delete val="1"/>
        <c:axPos val="b"/>
        <c:numFmt formatCode="General" sourceLinked="1"/>
        <c:majorTickMark val="none"/>
        <c:minorTickMark val="none"/>
        <c:tickLblPos val="nextTo"/>
        <c:crossAx val="1245630816"/>
        <c:crosses val="autoZero"/>
        <c:auto val="1"/>
        <c:lblAlgn val="ctr"/>
        <c:lblOffset val="100"/>
        <c:noMultiLvlLbl val="0"/>
      </c:catAx>
      <c:valAx>
        <c:axId val="1245630816"/>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5618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419684253319277"/>
          <c:y val="9.1240511541178099E-2"/>
          <c:w val="0.75404019018391732"/>
          <c:h val="0.9022232638995511"/>
        </c:manualLayout>
      </c:layout>
      <c:barChart>
        <c:barDir val="bar"/>
        <c:grouping val="clustered"/>
        <c:varyColors val="0"/>
        <c:ser>
          <c:idx val="0"/>
          <c:order val="0"/>
          <c:tx>
            <c:strRef>
              <c:f>Pivot!$AE$14</c:f>
              <c:strCache>
                <c:ptCount val="1"/>
                <c:pt idx="0">
                  <c:v>HC</c:v>
                </c:pt>
              </c:strCache>
            </c:strRef>
          </c:tx>
          <c:spPr>
            <a:solidFill>
              <a:schemeClr val="accent1"/>
            </a:solidFill>
            <a:ln>
              <a:noFill/>
            </a:ln>
            <a:effectLst>
              <a:outerShdw blurRad="50800" dist="38100" dir="2700000" algn="tl" rotWithShape="0">
                <a:prstClr val="black">
                  <a:alpha val="40000"/>
                </a:prstClr>
              </a:outerShdw>
            </a:effectLst>
          </c:spPr>
          <c:invertIfNegative val="0"/>
          <c:dPt>
            <c:idx val="0"/>
            <c:invertIfNegative val="0"/>
            <c:bubble3D val="0"/>
            <c:spPr>
              <a:solidFill>
                <a:srgbClr val="FF00F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0-705B-4D7B-AD67-2EC7F39795F6}"/>
              </c:ext>
            </c:extLst>
          </c:dPt>
          <c:dPt>
            <c:idx val="1"/>
            <c:invertIfNegative val="0"/>
            <c:bubble3D val="0"/>
            <c:spPr>
              <a:solidFill>
                <a:srgbClr val="F466C8"/>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705B-4D7B-AD67-2EC7F39795F6}"/>
              </c:ext>
            </c:extLst>
          </c:dPt>
          <c:dPt>
            <c:idx val="2"/>
            <c:invertIfNegative val="0"/>
            <c:bubble3D val="0"/>
            <c:spPr>
              <a:solidFill>
                <a:srgbClr val="D03097"/>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2-705B-4D7B-AD67-2EC7F39795F6}"/>
              </c:ext>
            </c:extLst>
          </c:dPt>
          <c:dPt>
            <c:idx val="3"/>
            <c:invertIfNegative val="0"/>
            <c:bubble3D val="0"/>
            <c:spPr>
              <a:solidFill>
                <a:srgbClr val="00206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705B-4D7B-AD67-2EC7F39795F6}"/>
              </c:ext>
            </c:extLst>
          </c:dPt>
          <c:dPt>
            <c:idx val="4"/>
            <c:invertIfNegative val="0"/>
            <c:bubble3D val="0"/>
            <c:spPr>
              <a:solidFill>
                <a:srgbClr val="0070C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4-705B-4D7B-AD67-2EC7F39795F6}"/>
              </c:ext>
            </c:extLst>
          </c:dPt>
          <c:dPt>
            <c:idx val="5"/>
            <c:invertIfNegative val="0"/>
            <c:bubble3D val="0"/>
            <c:spPr>
              <a:solidFill>
                <a:srgbClr val="00B0F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705B-4D7B-AD67-2EC7F39795F6}"/>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Pivot!$AD$15:$AD$20</c:f>
              <c:strCache>
                <c:ptCount val="6"/>
                <c:pt idx="0">
                  <c:v>5+ years</c:v>
                </c:pt>
                <c:pt idx="1">
                  <c:v>4+ years</c:v>
                </c:pt>
                <c:pt idx="2">
                  <c:v>3+ years</c:v>
                </c:pt>
                <c:pt idx="3">
                  <c:v>2+ years</c:v>
                </c:pt>
                <c:pt idx="4">
                  <c:v>1+ years</c:v>
                </c:pt>
                <c:pt idx="5">
                  <c:v>&lt;1 year</c:v>
                </c:pt>
              </c:strCache>
            </c:strRef>
          </c:cat>
          <c:val>
            <c:numRef>
              <c:f>Pivot!$AE$15:$AE$20</c:f>
              <c:numCache>
                <c:formatCode>General</c:formatCode>
                <c:ptCount val="6"/>
                <c:pt idx="0">
                  <c:v>28</c:v>
                </c:pt>
                <c:pt idx="1">
                  <c:v>16</c:v>
                </c:pt>
                <c:pt idx="2">
                  <c:v>18</c:v>
                </c:pt>
                <c:pt idx="3">
                  <c:v>44</c:v>
                </c:pt>
                <c:pt idx="4">
                  <c:v>10</c:v>
                </c:pt>
                <c:pt idx="5">
                  <c:v>2</c:v>
                </c:pt>
              </c:numCache>
            </c:numRef>
          </c:val>
          <c:extLst>
            <c:ext xmlns:c16="http://schemas.microsoft.com/office/drawing/2014/chart" uri="{C3380CC4-5D6E-409C-BE32-E72D297353CC}">
              <c16:uniqueId val="{00000000-CAC9-4A3B-91CB-B3D94D611B83}"/>
            </c:ext>
          </c:extLst>
        </c:ser>
        <c:dLbls>
          <c:showLegendKey val="0"/>
          <c:showVal val="0"/>
          <c:showCatName val="0"/>
          <c:showSerName val="0"/>
          <c:showPercent val="0"/>
          <c:showBubbleSize val="0"/>
        </c:dLbls>
        <c:gapWidth val="50"/>
        <c:axId val="1250839472"/>
        <c:axId val="1250846192"/>
      </c:barChart>
      <c:catAx>
        <c:axId val="1250839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0846192"/>
        <c:crosses val="autoZero"/>
        <c:auto val="1"/>
        <c:lblAlgn val="ctr"/>
        <c:lblOffset val="100"/>
        <c:noMultiLvlLbl val="0"/>
      </c:catAx>
      <c:valAx>
        <c:axId val="125084619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508394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04112866029543E-2"/>
          <c:y val="3.0569522268962857E-2"/>
          <c:w val="0.6098595088482448"/>
          <c:h val="0.96943035429689017"/>
        </c:manualLayout>
      </c:layout>
      <c:doughnutChart>
        <c:varyColors val="1"/>
        <c:ser>
          <c:idx val="1"/>
          <c:order val="1"/>
          <c:tx>
            <c:strRef>
              <c:f>Pivot!$U$14</c:f>
              <c:strCache>
                <c:ptCount val="1"/>
                <c:pt idx="0">
                  <c:v>HC%</c:v>
                </c:pt>
              </c:strCache>
            </c:strRef>
          </c:tx>
          <c:spPr>
            <a:ln>
              <a:noFill/>
            </a:ln>
            <a:effectLst>
              <a:outerShdw blurRad="50800" dist="38100" dir="2700000" algn="tl" rotWithShape="0">
                <a:prstClr val="black">
                  <a:alpha val="40000"/>
                </a:prstClr>
              </a:outerShdw>
            </a:effectLst>
          </c:spPr>
          <c:explosion val="6"/>
          <c:dPt>
            <c:idx val="0"/>
            <c:bubble3D val="0"/>
            <c:spPr>
              <a:solidFill>
                <a:srgbClr val="0070C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C124-48C7-9621-C9AB9A44A63F}"/>
              </c:ext>
            </c:extLst>
          </c:dPt>
          <c:dPt>
            <c:idx val="1"/>
            <c:bubble3D val="0"/>
            <c:spPr>
              <a:solidFill>
                <a:srgbClr val="00B0F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C124-48C7-9621-C9AB9A44A63F}"/>
              </c:ext>
            </c:extLst>
          </c:dPt>
          <c:dPt>
            <c:idx val="2"/>
            <c:bubble3D val="0"/>
            <c:spPr>
              <a:solidFill>
                <a:srgbClr val="FF33CC"/>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C124-48C7-9621-C9AB9A44A63F}"/>
              </c:ext>
            </c:extLst>
          </c:dPt>
          <c:dPt>
            <c:idx val="3"/>
            <c:bubble3D val="0"/>
            <c:spPr>
              <a:solidFill>
                <a:srgbClr val="D03097"/>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C124-48C7-9621-C9AB9A44A63F}"/>
              </c:ext>
            </c:extLst>
          </c:dPt>
          <c:dPt>
            <c:idx val="4"/>
            <c:bubble3D val="0"/>
            <c:spPr>
              <a:solidFill>
                <a:srgbClr val="7030A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C124-48C7-9621-C9AB9A44A63F}"/>
              </c:ext>
            </c:extLst>
          </c:dPt>
          <c:dPt>
            <c:idx val="5"/>
            <c:bubble3D val="0"/>
            <c:spPr>
              <a:solidFill>
                <a:srgbClr val="00206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C124-48C7-9621-C9AB9A44A63F}"/>
              </c:ext>
            </c:extLst>
          </c:dPt>
          <c:dPt>
            <c:idx val="6"/>
            <c:bubble3D val="0"/>
            <c:spPr>
              <a:solidFill>
                <a:schemeClr val="accent1">
                  <a:lumMod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C124-48C7-9621-C9AB9A44A63F}"/>
              </c:ext>
            </c:extLst>
          </c:dPt>
          <c:dLbls>
            <c:dLbl>
              <c:idx val="3"/>
              <c:layout>
                <c:manualLayout>
                  <c:x val="-6.7981069298632651E-2"/>
                  <c:y val="2.51962963428336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124-48C7-9621-C9AB9A44A63F}"/>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Pivot!$S$15:$S$21</c:f>
              <c:strCache>
                <c:ptCount val="7"/>
                <c:pt idx="0">
                  <c:v>Accounting</c:v>
                </c:pt>
                <c:pt idx="1">
                  <c:v>Finance</c:v>
                </c:pt>
                <c:pt idx="2">
                  <c:v>HR</c:v>
                </c:pt>
                <c:pt idx="3">
                  <c:v>Legal</c:v>
                </c:pt>
                <c:pt idx="4">
                  <c:v>Marketing</c:v>
                </c:pt>
                <c:pt idx="5">
                  <c:v>Operations</c:v>
                </c:pt>
                <c:pt idx="6">
                  <c:v>Sales</c:v>
                </c:pt>
              </c:strCache>
            </c:strRef>
          </c:cat>
          <c:val>
            <c:numRef>
              <c:f>Pivot!$U$15:$U$21</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C124-48C7-9621-C9AB9A44A63F}"/>
            </c:ext>
          </c:extLst>
        </c:ser>
        <c:dLbls>
          <c:showLegendKey val="0"/>
          <c:showVal val="0"/>
          <c:showCatName val="0"/>
          <c:showSerName val="0"/>
          <c:showPercent val="0"/>
          <c:showBubbleSize val="0"/>
          <c:showLeaderLines val="1"/>
        </c:dLbls>
        <c:firstSliceAng val="0"/>
        <c:holeSize val="65"/>
        <c:extLst>
          <c:ext xmlns:c15="http://schemas.microsoft.com/office/drawing/2012/chart" uri="{02D57815-91ED-43cb-92C2-25804820EDAC}">
            <c15:filteredPieSeries>
              <c15:ser>
                <c:idx val="0"/>
                <c:order val="0"/>
                <c:tx>
                  <c:strRef>
                    <c:extLst>
                      <c:ext uri="{02D57815-91ED-43cb-92C2-25804820EDAC}">
                        <c15:formulaRef>
                          <c15:sqref>Pivot!$T$14</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C124-48C7-9621-C9AB9A44A63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C124-48C7-9621-C9AB9A44A63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C124-48C7-9621-C9AB9A44A63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C124-48C7-9621-C9AB9A44A63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C124-48C7-9621-C9AB9A44A63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C124-48C7-9621-C9AB9A44A63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C124-48C7-9621-C9AB9A44A63F}"/>
                    </c:ext>
                  </c:extLst>
                </c:dPt>
                <c:cat>
                  <c:strRef>
                    <c:extLst>
                      <c:ext uri="{02D57815-91ED-43cb-92C2-25804820EDAC}">
                        <c15:formulaRef>
                          <c15:sqref>Pivot!$S$15:$S$21</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Pivot!$T$15:$T$21</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C124-48C7-9621-C9AB9A44A63F}"/>
                  </c:ext>
                </c:extLst>
              </c15:ser>
            </c15:filteredPieSeries>
          </c:ext>
        </c:extLst>
      </c:doughnutChart>
      <c:spPr>
        <a:noFill/>
        <a:ln>
          <a:noFill/>
        </a:ln>
        <a:effectLst/>
      </c:spPr>
    </c:plotArea>
    <c:legend>
      <c:legendPos val="r"/>
      <c:layout>
        <c:manualLayout>
          <c:xMode val="edge"/>
          <c:yMode val="edge"/>
          <c:x val="0.69951348730184204"/>
          <c:y val="0.12363302908262422"/>
          <c:w val="0.27914012725471199"/>
          <c:h val="0.849611183176074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8084639A-7B31-49B8-8A9A-70FF0866A9B8}">
          <cx:tx>
            <cx:txData>
              <cx:f>_xlchart.v2.1</cx:f>
              <cx:v>HC Reporting</cx:v>
            </cx:txData>
          </cx:tx>
          <cx:spPr>
            <a:effectLst>
              <a:outerShdw blurRad="50800" dist="38100" dir="2700000" algn="tl" rotWithShape="0">
                <a:prstClr val="black">
                  <a:alpha val="40000"/>
                </a:prstClr>
              </a:outerShdw>
            </a:effectLst>
          </cx:spPr>
          <cx:dataLabels>
            <cx:visibility seriesName="0" categoryName="0" value="1"/>
          </cx:dataLabels>
          <cx:dataId val="0"/>
        </cx:series>
      </cx:plotAreaRegion>
      <cx:axis id="0">
        <cx:catScaling gapWidth="0.0599999987"/>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8084639A-7B31-49B8-8A9A-70FF0866A9B8}">
          <cx:tx>
            <cx:txData>
              <cx:f>_xlchart.v2.4</cx:f>
              <cx:v>HC Reporting</cx:v>
            </cx:txData>
          </cx:tx>
          <cx:spPr>
            <a:effectLst>
              <a:outerShdw blurRad="50800" dist="38100" dir="2700000" algn="tl" rotWithShape="0">
                <a:prstClr val="black">
                  <a:alpha val="40000"/>
                </a:prstClr>
              </a:outerShdw>
            </a:effectLst>
          </cx:spPr>
          <cx:dataPt idx="0">
            <cx:spPr>
              <a:solidFill>
                <a:srgbClr val="00B0F0"/>
              </a:solidFill>
            </cx:spPr>
          </cx:dataPt>
          <cx:dataPt idx="1">
            <cx:spPr>
              <a:solidFill>
                <a:srgbClr val="0E2841">
                  <a:lumMod val="50000"/>
                  <a:lumOff val="50000"/>
                </a:srgbClr>
              </a:solidFill>
            </cx:spPr>
          </cx:dataPt>
          <cx:dataPt idx="2">
            <cx:spPr>
              <a:solidFill>
                <a:srgbClr val="0070C0"/>
              </a:solidFill>
            </cx:spPr>
          </cx:dataPt>
          <cx:dataPt idx="3">
            <cx:spPr>
              <a:solidFill>
                <a:srgbClr val="7030A0"/>
              </a:solidFill>
            </cx:spPr>
          </cx:dataPt>
          <cx:dataPt idx="4">
            <cx:spPr>
              <a:solidFill>
                <a:srgbClr val="F466C8"/>
              </a:solidFill>
            </cx:spPr>
          </cx:dataPt>
          <cx:dataPt idx="5">
            <cx:spPr>
              <a:solidFill>
                <a:srgbClr val="FF33CC"/>
              </a:solidFill>
            </cx:spPr>
          </cx:dataPt>
          <cx:dataPt idx="6">
            <cx:spPr>
              <a:solidFill>
                <a:srgbClr val="FF33CC"/>
              </a:solidFill>
            </cx:spPr>
          </cx:dataPt>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chart" Target="../charts/chart2.xml"/><Relationship Id="rId26" Type="http://schemas.openxmlformats.org/officeDocument/2006/relationships/image" Target="../media/image21.svg"/><Relationship Id="rId3" Type="http://schemas.openxmlformats.org/officeDocument/2006/relationships/image" Target="../media/image2.png"/><Relationship Id="rId21" Type="http://schemas.openxmlformats.org/officeDocument/2006/relationships/chart" Target="../charts/chart3.xml"/><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chart" Target="../charts/chart1.xml"/><Relationship Id="rId25" Type="http://schemas.openxmlformats.org/officeDocument/2006/relationships/image" Target="../media/image20.png"/><Relationship Id="rId2" Type="http://schemas.openxmlformats.org/officeDocument/2006/relationships/image" Target="../media/image1.png"/><Relationship Id="rId16" Type="http://schemas.openxmlformats.org/officeDocument/2006/relationships/image" Target="../media/image15.svg"/><Relationship Id="rId20" Type="http://schemas.openxmlformats.org/officeDocument/2006/relationships/image" Target="../media/image19.svg"/><Relationship Id="rId1" Type="http://schemas.openxmlformats.org/officeDocument/2006/relationships/hyperlink" Target="#'Dark Mood'!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chart" Target="../charts/chart5.xml"/><Relationship Id="rId5" Type="http://schemas.openxmlformats.org/officeDocument/2006/relationships/image" Target="../media/image4.png"/><Relationship Id="rId15" Type="http://schemas.openxmlformats.org/officeDocument/2006/relationships/image" Target="../media/image14.png"/><Relationship Id="rId23" Type="http://schemas.microsoft.com/office/2014/relationships/chartEx" Target="../charts/chartEx1.xml"/><Relationship Id="rId28" Type="http://schemas.openxmlformats.org/officeDocument/2006/relationships/hyperlink" Target="HR%20analytics.xlsm#'Dark Mood'!A1" TargetMode="External"/><Relationship Id="rId10" Type="http://schemas.openxmlformats.org/officeDocument/2006/relationships/image" Target="../media/image9.svg"/><Relationship Id="rId19" Type="http://schemas.openxmlformats.org/officeDocument/2006/relationships/image" Target="../media/image18.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chart" Target="../charts/chart4.xml"/><Relationship Id="rId27" Type="http://schemas.openxmlformats.org/officeDocument/2006/relationships/chart" Target="../charts/chart6.xml"/></Relationships>
</file>

<file path=xl/drawings/_rels/drawing2.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6.png"/></Relationships>
</file>

<file path=xl/drawings/_rels/drawing3.xml.rels><?xml version="1.0" encoding="UTF-8" standalone="yes"?>
<Relationships xmlns="http://schemas.openxmlformats.org/package/2006/relationships"><Relationship Id="rId8" Type="http://schemas.openxmlformats.org/officeDocument/2006/relationships/image" Target="../media/image29.svg"/><Relationship Id="rId13" Type="http://schemas.openxmlformats.org/officeDocument/2006/relationships/chart" Target="../charts/chart7.xml"/><Relationship Id="rId18" Type="http://schemas.microsoft.com/office/2014/relationships/chartEx" Target="../charts/chartEx2.xml"/><Relationship Id="rId26" Type="http://schemas.openxmlformats.org/officeDocument/2006/relationships/image" Target="../media/image38.png"/><Relationship Id="rId3" Type="http://schemas.openxmlformats.org/officeDocument/2006/relationships/image" Target="../media/image24.png"/><Relationship Id="rId21" Type="http://schemas.openxmlformats.org/officeDocument/2006/relationships/chart" Target="../charts/chart12.xml"/><Relationship Id="rId7" Type="http://schemas.openxmlformats.org/officeDocument/2006/relationships/image" Target="../media/image28.png"/><Relationship Id="rId12" Type="http://schemas.openxmlformats.org/officeDocument/2006/relationships/image" Target="../media/image33.svg"/><Relationship Id="rId17" Type="http://schemas.openxmlformats.org/officeDocument/2006/relationships/chart" Target="../charts/chart9.xml"/><Relationship Id="rId25" Type="http://schemas.openxmlformats.org/officeDocument/2006/relationships/image" Target="../media/image37.svg"/><Relationship Id="rId2" Type="http://schemas.openxmlformats.org/officeDocument/2006/relationships/image" Target="../media/image23.svg"/><Relationship Id="rId16" Type="http://schemas.openxmlformats.org/officeDocument/2006/relationships/image" Target="../media/image19.svg"/><Relationship Id="rId20" Type="http://schemas.openxmlformats.org/officeDocument/2006/relationships/chart" Target="../charts/chart11.xml"/><Relationship Id="rId29" Type="http://schemas.openxmlformats.org/officeDocument/2006/relationships/image" Target="../media/image41.svg"/><Relationship Id="rId1" Type="http://schemas.openxmlformats.org/officeDocument/2006/relationships/image" Target="../media/image22.png"/><Relationship Id="rId6" Type="http://schemas.openxmlformats.org/officeDocument/2006/relationships/image" Target="../media/image27.svg"/><Relationship Id="rId11" Type="http://schemas.openxmlformats.org/officeDocument/2006/relationships/image" Target="../media/image32.png"/><Relationship Id="rId24" Type="http://schemas.openxmlformats.org/officeDocument/2006/relationships/image" Target="../media/image36.png"/><Relationship Id="rId5" Type="http://schemas.openxmlformats.org/officeDocument/2006/relationships/image" Target="../media/image26.png"/><Relationship Id="rId15" Type="http://schemas.openxmlformats.org/officeDocument/2006/relationships/image" Target="../media/image18.png"/><Relationship Id="rId23" Type="http://schemas.openxmlformats.org/officeDocument/2006/relationships/image" Target="../media/image35.svg"/><Relationship Id="rId28" Type="http://schemas.openxmlformats.org/officeDocument/2006/relationships/image" Target="../media/image40.png"/><Relationship Id="rId10" Type="http://schemas.openxmlformats.org/officeDocument/2006/relationships/image" Target="../media/image31.svg"/><Relationship Id="rId19" Type="http://schemas.openxmlformats.org/officeDocument/2006/relationships/chart" Target="../charts/chart10.xml"/><Relationship Id="rId4" Type="http://schemas.openxmlformats.org/officeDocument/2006/relationships/image" Target="../media/image25.svg"/><Relationship Id="rId9" Type="http://schemas.openxmlformats.org/officeDocument/2006/relationships/image" Target="../media/image30.png"/><Relationship Id="rId14" Type="http://schemas.openxmlformats.org/officeDocument/2006/relationships/chart" Target="../charts/chart8.xml"/><Relationship Id="rId22" Type="http://schemas.openxmlformats.org/officeDocument/2006/relationships/image" Target="../media/image34.png"/><Relationship Id="rId27" Type="http://schemas.openxmlformats.org/officeDocument/2006/relationships/image" Target="../media/image39.svg"/><Relationship Id="rId30" Type="http://schemas.openxmlformats.org/officeDocument/2006/relationships/hyperlink" Target="HR%20analytics.xlsm#'HR Dashboard'!A1"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14</xdr:col>
      <xdr:colOff>314325</xdr:colOff>
      <xdr:row>23</xdr:row>
      <xdr:rowOff>85725</xdr:rowOff>
    </xdr:from>
    <xdr:to>
      <xdr:col>20</xdr:col>
      <xdr:colOff>35074</xdr:colOff>
      <xdr:row>34</xdr:row>
      <xdr:rowOff>2017</xdr:rowOff>
    </xdr:to>
    <xdr:sp macro="" textlink="">
      <xdr:nvSpPr>
        <xdr:cNvPr id="53" name="Rectangle 52">
          <a:extLst>
            <a:ext uri="{FF2B5EF4-FFF2-40B4-BE49-F238E27FC236}">
              <a16:creationId xmlns:a16="http://schemas.microsoft.com/office/drawing/2014/main" id="{4C79E8D0-9ED0-4EED-8958-656C39001532}"/>
            </a:ext>
          </a:extLst>
        </xdr:cNvPr>
        <xdr:cNvSpPr/>
      </xdr:nvSpPr>
      <xdr:spPr>
        <a:xfrm>
          <a:off x="8848725" y="4248150"/>
          <a:ext cx="3378349" cy="1907017"/>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113885</xdr:colOff>
      <xdr:row>0</xdr:row>
      <xdr:rowOff>166893</xdr:rowOff>
    </xdr:from>
    <xdr:to>
      <xdr:col>2</xdr:col>
      <xdr:colOff>133085</xdr:colOff>
      <xdr:row>4</xdr:row>
      <xdr:rowOff>137571</xdr:rowOff>
    </xdr:to>
    <xdr:sp macro="" textlink="">
      <xdr:nvSpPr>
        <xdr:cNvPr id="2" name="Rectangle 1">
          <a:extLst>
            <a:ext uri="{FF2B5EF4-FFF2-40B4-BE49-F238E27FC236}">
              <a16:creationId xmlns:a16="http://schemas.microsoft.com/office/drawing/2014/main" id="{B078BF55-2CF7-083E-5B9E-CBD257F915F2}"/>
            </a:ext>
          </a:extLst>
        </xdr:cNvPr>
        <xdr:cNvSpPr/>
      </xdr:nvSpPr>
      <xdr:spPr>
        <a:xfrm>
          <a:off x="113885" y="166893"/>
          <a:ext cx="1238400" cy="712800"/>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260302</xdr:colOff>
      <xdr:row>0</xdr:row>
      <xdr:rowOff>169333</xdr:rowOff>
    </xdr:from>
    <xdr:to>
      <xdr:col>19</xdr:col>
      <xdr:colOff>602627</xdr:colOff>
      <xdr:row>4</xdr:row>
      <xdr:rowOff>140011</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6206A95C-94B9-4F96-9CE4-D2431315A2F6}"/>
            </a:ext>
          </a:extLst>
        </xdr:cNvPr>
        <xdr:cNvSpPr/>
      </xdr:nvSpPr>
      <xdr:spPr>
        <a:xfrm>
          <a:off x="1479502" y="169333"/>
          <a:ext cx="10705525" cy="715745"/>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381000</xdr:colOff>
      <xdr:row>36</xdr:row>
      <xdr:rowOff>143933</xdr:rowOff>
    </xdr:from>
    <xdr:ext cx="389467" cy="7080686"/>
    <xdr:sp macro="" textlink="">
      <xdr:nvSpPr>
        <xdr:cNvPr id="6" name="TextBox 5">
          <a:extLst>
            <a:ext uri="{FF2B5EF4-FFF2-40B4-BE49-F238E27FC236}">
              <a16:creationId xmlns:a16="http://schemas.microsoft.com/office/drawing/2014/main" id="{BF381255-669E-79CD-BB95-6765D0C27001}"/>
            </a:ext>
          </a:extLst>
        </xdr:cNvPr>
        <xdr:cNvSpPr txBox="1"/>
      </xdr:nvSpPr>
      <xdr:spPr>
        <a:xfrm>
          <a:off x="4038600" y="6849533"/>
          <a:ext cx="389467" cy="7080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3600" b="1">
              <a:solidFill>
                <a:schemeClr val="bg1"/>
              </a:solidFill>
              <a:effectLst/>
              <a:latin typeface="+mn-lt"/>
              <a:ea typeface="+mn-ea"/>
              <a:cs typeface="+mn-cs"/>
            </a:rPr>
            <a:t>HR</a:t>
          </a:r>
          <a:r>
            <a:rPr lang="en-US" sz="3600" b="1" baseline="0">
              <a:solidFill>
                <a:schemeClr val="bg1"/>
              </a:solidFill>
              <a:effectLst/>
              <a:latin typeface="+mn-lt"/>
              <a:ea typeface="+mn-ea"/>
              <a:cs typeface="+mn-cs"/>
            </a:rPr>
            <a:t> ANALYTICS DASHBORD</a:t>
          </a:r>
          <a:endParaRPr lang="en-US" sz="3600" b="1">
            <a:solidFill>
              <a:schemeClr val="bg1"/>
            </a:solidFill>
            <a:effectLst/>
          </a:endParaRPr>
        </a:p>
        <a:p>
          <a:endParaRPr lang="en-US" sz="1600"/>
        </a:p>
      </xdr:txBody>
    </xdr:sp>
    <xdr:clientData/>
  </xdr:oneCellAnchor>
  <xdr:twoCellAnchor editAs="oneCell">
    <xdr:from>
      <xdr:col>4</xdr:col>
      <xdr:colOff>552699</xdr:colOff>
      <xdr:row>1</xdr:row>
      <xdr:rowOff>35922</xdr:rowOff>
    </xdr:from>
    <xdr:to>
      <xdr:col>16</xdr:col>
      <xdr:colOff>176182</xdr:colOff>
      <xdr:row>5</xdr:row>
      <xdr:rowOff>40727</xdr:rowOff>
    </xdr:to>
    <xdr:pic>
      <xdr:nvPicPr>
        <xdr:cNvPr id="7" name="Picture 6">
          <a:extLst>
            <a:ext uri="{FF2B5EF4-FFF2-40B4-BE49-F238E27FC236}">
              <a16:creationId xmlns:a16="http://schemas.microsoft.com/office/drawing/2014/main" id="{ECF7EE69-E73C-0AF3-6514-07D65A4652B3}"/>
            </a:ext>
          </a:extLst>
        </xdr:cNvPr>
        <xdr:cNvPicPr>
          <a:picLocks noChangeAspect="1"/>
        </xdr:cNvPicPr>
      </xdr:nvPicPr>
      <xdr:blipFill>
        <a:blip xmlns:r="http://schemas.openxmlformats.org/officeDocument/2006/relationships" r:embed="rId2"/>
        <a:stretch>
          <a:fillRect/>
        </a:stretch>
      </xdr:blipFill>
      <xdr:spPr>
        <a:xfrm>
          <a:off x="2991099" y="222189"/>
          <a:ext cx="6938683" cy="749871"/>
        </a:xfrm>
        <a:prstGeom prst="rect">
          <a:avLst/>
        </a:prstGeom>
      </xdr:spPr>
    </xdr:pic>
    <xdr:clientData/>
  </xdr:twoCellAnchor>
  <xdr:twoCellAnchor>
    <xdr:from>
      <xdr:col>0</xdr:col>
      <xdr:colOff>116416</xdr:colOff>
      <xdr:row>5</xdr:row>
      <xdr:rowOff>67732</xdr:rowOff>
    </xdr:from>
    <xdr:to>
      <xdr:col>2</xdr:col>
      <xdr:colOff>135616</xdr:colOff>
      <xdr:row>33</xdr:row>
      <xdr:rowOff>108265</xdr:rowOff>
    </xdr:to>
    <xdr:sp macro="" textlink="">
      <xdr:nvSpPr>
        <xdr:cNvPr id="8" name="Rectangle 7">
          <a:extLst>
            <a:ext uri="{FF2B5EF4-FFF2-40B4-BE49-F238E27FC236}">
              <a16:creationId xmlns:a16="http://schemas.microsoft.com/office/drawing/2014/main" id="{CB85E069-B052-4FB5-8C2F-3B8DD2FB5F8F}"/>
            </a:ext>
          </a:extLst>
        </xdr:cNvPr>
        <xdr:cNvSpPr/>
      </xdr:nvSpPr>
      <xdr:spPr>
        <a:xfrm>
          <a:off x="116416" y="972607"/>
          <a:ext cx="1238400" cy="5107833"/>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241934</xdr:colOff>
      <xdr:row>5</xdr:row>
      <xdr:rowOff>115084</xdr:rowOff>
    </xdr:from>
    <xdr:to>
      <xdr:col>5</xdr:col>
      <xdr:colOff>497534</xdr:colOff>
      <xdr:row>9</xdr:row>
      <xdr:rowOff>122704</xdr:rowOff>
    </xdr:to>
    <xdr:sp macro="" textlink="">
      <xdr:nvSpPr>
        <xdr:cNvPr id="9" name="Rectangle 8">
          <a:extLst>
            <a:ext uri="{FF2B5EF4-FFF2-40B4-BE49-F238E27FC236}">
              <a16:creationId xmlns:a16="http://schemas.microsoft.com/office/drawing/2014/main" id="{D893CE49-604E-475D-90E2-7C9202C5616B}"/>
            </a:ext>
          </a:extLst>
        </xdr:cNvPr>
        <xdr:cNvSpPr/>
      </xdr:nvSpPr>
      <xdr:spPr>
        <a:xfrm>
          <a:off x="1461134" y="1011555"/>
          <a:ext cx="2084400" cy="724796"/>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561584</xdr:colOff>
      <xdr:row>5</xdr:row>
      <xdr:rowOff>96930</xdr:rowOff>
    </xdr:from>
    <xdr:to>
      <xdr:col>9</xdr:col>
      <xdr:colOff>207584</xdr:colOff>
      <xdr:row>9</xdr:row>
      <xdr:rowOff>104550</xdr:rowOff>
    </xdr:to>
    <xdr:sp macro="" textlink="">
      <xdr:nvSpPr>
        <xdr:cNvPr id="11" name="Rectangle 10">
          <a:extLst>
            <a:ext uri="{FF2B5EF4-FFF2-40B4-BE49-F238E27FC236}">
              <a16:creationId xmlns:a16="http://schemas.microsoft.com/office/drawing/2014/main" id="{2166BA5E-B3B0-43DA-A60B-FBF0A49503EB}"/>
            </a:ext>
          </a:extLst>
        </xdr:cNvPr>
        <xdr:cNvSpPr/>
      </xdr:nvSpPr>
      <xdr:spPr>
        <a:xfrm>
          <a:off x="3609584" y="1028263"/>
          <a:ext cx="2084400" cy="752687"/>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266700</xdr:colOff>
      <xdr:row>5</xdr:row>
      <xdr:rowOff>93121</xdr:rowOff>
    </xdr:from>
    <xdr:to>
      <xdr:col>12</xdr:col>
      <xdr:colOff>522300</xdr:colOff>
      <xdr:row>9</xdr:row>
      <xdr:rowOff>100741</xdr:rowOff>
    </xdr:to>
    <xdr:sp macro="" textlink="">
      <xdr:nvSpPr>
        <xdr:cNvPr id="12" name="Rectangle 11">
          <a:extLst>
            <a:ext uri="{FF2B5EF4-FFF2-40B4-BE49-F238E27FC236}">
              <a16:creationId xmlns:a16="http://schemas.microsoft.com/office/drawing/2014/main" id="{0493B044-7B35-4154-88B5-5E8D46996811}"/>
            </a:ext>
          </a:extLst>
        </xdr:cNvPr>
        <xdr:cNvSpPr/>
      </xdr:nvSpPr>
      <xdr:spPr>
        <a:xfrm>
          <a:off x="5753100" y="989592"/>
          <a:ext cx="2084400" cy="724796"/>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608170</xdr:colOff>
      <xdr:row>5</xdr:row>
      <xdr:rowOff>98611</xdr:rowOff>
    </xdr:from>
    <xdr:to>
      <xdr:col>16</xdr:col>
      <xdr:colOff>254170</xdr:colOff>
      <xdr:row>9</xdr:row>
      <xdr:rowOff>100741</xdr:rowOff>
    </xdr:to>
    <xdr:sp macro="" textlink="">
      <xdr:nvSpPr>
        <xdr:cNvPr id="13" name="Rectangle 12">
          <a:extLst>
            <a:ext uri="{FF2B5EF4-FFF2-40B4-BE49-F238E27FC236}">
              <a16:creationId xmlns:a16="http://schemas.microsoft.com/office/drawing/2014/main" id="{0A430590-7974-4907-A922-B6DF97A7E849}"/>
            </a:ext>
          </a:extLst>
        </xdr:cNvPr>
        <xdr:cNvSpPr/>
      </xdr:nvSpPr>
      <xdr:spPr>
        <a:xfrm>
          <a:off x="7923370" y="995082"/>
          <a:ext cx="2084400" cy="719306"/>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357219</xdr:colOff>
      <xdr:row>5</xdr:row>
      <xdr:rowOff>97117</xdr:rowOff>
    </xdr:from>
    <xdr:to>
      <xdr:col>20</xdr:col>
      <xdr:colOff>3219</xdr:colOff>
      <xdr:row>9</xdr:row>
      <xdr:rowOff>126141</xdr:rowOff>
    </xdr:to>
    <xdr:sp macro="" textlink="">
      <xdr:nvSpPr>
        <xdr:cNvPr id="14" name="Rectangle 13">
          <a:extLst>
            <a:ext uri="{FF2B5EF4-FFF2-40B4-BE49-F238E27FC236}">
              <a16:creationId xmlns:a16="http://schemas.microsoft.com/office/drawing/2014/main" id="{0D590D3B-4066-46FF-9FE6-77658B444368}"/>
            </a:ext>
          </a:extLst>
        </xdr:cNvPr>
        <xdr:cNvSpPr/>
      </xdr:nvSpPr>
      <xdr:spPr>
        <a:xfrm>
          <a:off x="10110819" y="1028450"/>
          <a:ext cx="2084400" cy="774091"/>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215040</xdr:colOff>
      <xdr:row>10</xdr:row>
      <xdr:rowOff>129539</xdr:rowOff>
    </xdr:from>
    <xdr:to>
      <xdr:col>8</xdr:col>
      <xdr:colOff>297180</xdr:colOff>
      <xdr:row>22</xdr:row>
      <xdr:rowOff>132588</xdr:rowOff>
    </xdr:to>
    <xdr:sp macro="" textlink="">
      <xdr:nvSpPr>
        <xdr:cNvPr id="36" name="Rectangle 35">
          <a:extLst>
            <a:ext uri="{FF2B5EF4-FFF2-40B4-BE49-F238E27FC236}">
              <a16:creationId xmlns:a16="http://schemas.microsoft.com/office/drawing/2014/main" id="{B5C9E757-D8E7-4263-82FE-03A943679176}"/>
            </a:ext>
          </a:extLst>
        </xdr:cNvPr>
        <xdr:cNvSpPr/>
      </xdr:nvSpPr>
      <xdr:spPr>
        <a:xfrm>
          <a:off x="1434240" y="1958339"/>
          <a:ext cx="3739740" cy="2197609"/>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353108</xdr:colOff>
      <xdr:row>10</xdr:row>
      <xdr:rowOff>120911</xdr:rowOff>
    </xdr:from>
    <xdr:to>
      <xdr:col>13</xdr:col>
      <xdr:colOff>281391</xdr:colOff>
      <xdr:row>22</xdr:row>
      <xdr:rowOff>170328</xdr:rowOff>
    </xdr:to>
    <xdr:sp macro="" textlink="">
      <xdr:nvSpPr>
        <xdr:cNvPr id="37" name="Rectangle 36">
          <a:extLst>
            <a:ext uri="{FF2B5EF4-FFF2-40B4-BE49-F238E27FC236}">
              <a16:creationId xmlns:a16="http://schemas.microsoft.com/office/drawing/2014/main" id="{7E06244F-494A-4106-842C-6E8DE0E45FDA}"/>
            </a:ext>
          </a:extLst>
        </xdr:cNvPr>
        <xdr:cNvSpPr/>
      </xdr:nvSpPr>
      <xdr:spPr>
        <a:xfrm>
          <a:off x="5229908" y="1983578"/>
          <a:ext cx="2976283" cy="2284617"/>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clientData/>
  </xdr:twoCellAnchor>
  <xdr:twoCellAnchor>
    <xdr:from>
      <xdr:col>13</xdr:col>
      <xdr:colOff>403413</xdr:colOff>
      <xdr:row>10</xdr:row>
      <xdr:rowOff>80683</xdr:rowOff>
    </xdr:from>
    <xdr:to>
      <xdr:col>20</xdr:col>
      <xdr:colOff>17930</xdr:colOff>
      <xdr:row>22</xdr:row>
      <xdr:rowOff>174277</xdr:rowOff>
    </xdr:to>
    <xdr:sp macro="" textlink="">
      <xdr:nvSpPr>
        <xdr:cNvPr id="38" name="Rectangle 37">
          <a:extLst>
            <a:ext uri="{FF2B5EF4-FFF2-40B4-BE49-F238E27FC236}">
              <a16:creationId xmlns:a16="http://schemas.microsoft.com/office/drawing/2014/main" id="{BDF6C4E2-F5D8-405C-BA48-3A44C4097D81}"/>
            </a:ext>
          </a:extLst>
        </xdr:cNvPr>
        <xdr:cNvSpPr/>
      </xdr:nvSpPr>
      <xdr:spPr>
        <a:xfrm>
          <a:off x="8328213" y="1873624"/>
          <a:ext cx="3881717" cy="2245124"/>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237900</xdr:colOff>
      <xdr:row>23</xdr:row>
      <xdr:rowOff>70372</xdr:rowOff>
    </xdr:from>
    <xdr:to>
      <xdr:col>6</xdr:col>
      <xdr:colOff>198120</xdr:colOff>
      <xdr:row>33</xdr:row>
      <xdr:rowOff>106680</xdr:rowOff>
    </xdr:to>
    <xdr:sp macro="" textlink="">
      <xdr:nvSpPr>
        <xdr:cNvPr id="39" name="Rectangle 38">
          <a:extLst>
            <a:ext uri="{FF2B5EF4-FFF2-40B4-BE49-F238E27FC236}">
              <a16:creationId xmlns:a16="http://schemas.microsoft.com/office/drawing/2014/main" id="{43475120-EC42-4DB1-9438-B34D57ABA964}"/>
            </a:ext>
          </a:extLst>
        </xdr:cNvPr>
        <xdr:cNvSpPr/>
      </xdr:nvSpPr>
      <xdr:spPr>
        <a:xfrm>
          <a:off x="1457100" y="4276612"/>
          <a:ext cx="2398620" cy="1865108"/>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336960</xdr:colOff>
      <xdr:row>23</xdr:row>
      <xdr:rowOff>50800</xdr:rowOff>
    </xdr:from>
    <xdr:to>
      <xdr:col>10</xdr:col>
      <xdr:colOff>350520</xdr:colOff>
      <xdr:row>33</xdr:row>
      <xdr:rowOff>129540</xdr:rowOff>
    </xdr:to>
    <xdr:sp macro="" textlink="">
      <xdr:nvSpPr>
        <xdr:cNvPr id="43" name="Rectangle 42">
          <a:extLst>
            <a:ext uri="{FF2B5EF4-FFF2-40B4-BE49-F238E27FC236}">
              <a16:creationId xmlns:a16="http://schemas.microsoft.com/office/drawing/2014/main" id="{98AC7AA6-B7E0-4342-BA63-48E3269600FE}"/>
            </a:ext>
          </a:extLst>
        </xdr:cNvPr>
        <xdr:cNvSpPr/>
      </xdr:nvSpPr>
      <xdr:spPr>
        <a:xfrm>
          <a:off x="3994560" y="4334933"/>
          <a:ext cx="2451960" cy="1941407"/>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455707</xdr:colOff>
      <xdr:row>23</xdr:row>
      <xdr:rowOff>93133</xdr:rowOff>
    </xdr:from>
    <xdr:to>
      <xdr:col>14</xdr:col>
      <xdr:colOff>245037</xdr:colOff>
      <xdr:row>33</xdr:row>
      <xdr:rowOff>161363</xdr:rowOff>
    </xdr:to>
    <xdr:sp macro="" textlink="">
      <xdr:nvSpPr>
        <xdr:cNvPr id="44" name="Rectangle 43">
          <a:extLst>
            <a:ext uri="{FF2B5EF4-FFF2-40B4-BE49-F238E27FC236}">
              <a16:creationId xmlns:a16="http://schemas.microsoft.com/office/drawing/2014/main" id="{ADB5DEF3-4110-47BE-B7E4-A3BEABA4FE93}"/>
            </a:ext>
          </a:extLst>
        </xdr:cNvPr>
        <xdr:cNvSpPr/>
      </xdr:nvSpPr>
      <xdr:spPr>
        <a:xfrm>
          <a:off x="6551707" y="4377266"/>
          <a:ext cx="2227730" cy="1930897"/>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227604</xdr:colOff>
      <xdr:row>1</xdr:row>
      <xdr:rowOff>44824</xdr:rowOff>
    </xdr:from>
    <xdr:to>
      <xdr:col>17</xdr:col>
      <xdr:colOff>254498</xdr:colOff>
      <xdr:row>4</xdr:row>
      <xdr:rowOff>143436</xdr:rowOff>
    </xdr:to>
    <xdr:pic macro="[0]!Swtchprg">
      <xdr:nvPicPr>
        <xdr:cNvPr id="10" name="Graphic 9" descr="Monitor with solid fill">
          <a:extLst>
            <a:ext uri="{FF2B5EF4-FFF2-40B4-BE49-F238E27FC236}">
              <a16:creationId xmlns:a16="http://schemas.microsoft.com/office/drawing/2014/main" id="{9F3B474E-47E0-7A00-CD05-BBF96893095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981204" y="231091"/>
          <a:ext cx="636494" cy="657412"/>
        </a:xfrm>
        <a:prstGeom prst="rect">
          <a:avLst/>
        </a:prstGeom>
      </xdr:spPr>
    </xdr:pic>
    <xdr:clientData/>
  </xdr:twoCellAnchor>
  <xdr:twoCellAnchor editAs="oneCell">
    <xdr:from>
      <xdr:col>2</xdr:col>
      <xdr:colOff>295836</xdr:colOff>
      <xdr:row>6</xdr:row>
      <xdr:rowOff>17929</xdr:rowOff>
    </xdr:from>
    <xdr:to>
      <xdr:col>3</xdr:col>
      <xdr:colOff>475130</xdr:colOff>
      <xdr:row>9</xdr:row>
      <xdr:rowOff>17929</xdr:rowOff>
    </xdr:to>
    <xdr:pic>
      <xdr:nvPicPr>
        <xdr:cNvPr id="16" name="Graphic 15" descr="Group of people with solid fill">
          <a:extLst>
            <a:ext uri="{FF2B5EF4-FFF2-40B4-BE49-F238E27FC236}">
              <a16:creationId xmlns:a16="http://schemas.microsoft.com/office/drawing/2014/main" id="{BA83C1C1-6E6F-E645-87C8-275F58070D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515036" y="1093694"/>
          <a:ext cx="788894" cy="537882"/>
        </a:xfrm>
        <a:prstGeom prst="rect">
          <a:avLst/>
        </a:prstGeom>
      </xdr:spPr>
    </xdr:pic>
    <xdr:clientData/>
  </xdr:twoCellAnchor>
  <xdr:twoCellAnchor editAs="oneCell">
    <xdr:from>
      <xdr:col>5</xdr:col>
      <xdr:colOff>591671</xdr:colOff>
      <xdr:row>5</xdr:row>
      <xdr:rowOff>170328</xdr:rowOff>
    </xdr:from>
    <xdr:to>
      <xdr:col>7</xdr:col>
      <xdr:colOff>1</xdr:colOff>
      <xdr:row>9</xdr:row>
      <xdr:rowOff>80682</xdr:rowOff>
    </xdr:to>
    <xdr:pic>
      <xdr:nvPicPr>
        <xdr:cNvPr id="18" name="Graphic 17" descr="Group of women with solid fill">
          <a:extLst>
            <a:ext uri="{FF2B5EF4-FFF2-40B4-BE49-F238E27FC236}">
              <a16:creationId xmlns:a16="http://schemas.microsoft.com/office/drawing/2014/main" id="{620BAF36-BF33-9780-8597-8A56799AE16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639671" y="1066799"/>
          <a:ext cx="627530" cy="627530"/>
        </a:xfrm>
        <a:prstGeom prst="rect">
          <a:avLst/>
        </a:prstGeom>
      </xdr:spPr>
    </xdr:pic>
    <xdr:clientData/>
  </xdr:twoCellAnchor>
  <xdr:twoCellAnchor editAs="oneCell">
    <xdr:from>
      <xdr:col>9</xdr:col>
      <xdr:colOff>510989</xdr:colOff>
      <xdr:row>5</xdr:row>
      <xdr:rowOff>125505</xdr:rowOff>
    </xdr:from>
    <xdr:to>
      <xdr:col>10</xdr:col>
      <xdr:colOff>600635</xdr:colOff>
      <xdr:row>9</xdr:row>
      <xdr:rowOff>107575</xdr:rowOff>
    </xdr:to>
    <xdr:pic>
      <xdr:nvPicPr>
        <xdr:cNvPr id="20" name="Graphic 19" descr="Users with solid fill">
          <a:extLst>
            <a:ext uri="{FF2B5EF4-FFF2-40B4-BE49-F238E27FC236}">
              <a16:creationId xmlns:a16="http://schemas.microsoft.com/office/drawing/2014/main" id="{E28DF316-49EE-1FFE-621A-296CF5FB1F3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997389" y="1021976"/>
          <a:ext cx="699246" cy="699246"/>
        </a:xfrm>
        <a:prstGeom prst="rect">
          <a:avLst/>
        </a:prstGeom>
      </xdr:spPr>
    </xdr:pic>
    <xdr:clientData/>
  </xdr:twoCellAnchor>
  <xdr:twoCellAnchor editAs="oneCell">
    <xdr:from>
      <xdr:col>13</xdr:col>
      <xdr:colOff>197222</xdr:colOff>
      <xdr:row>5</xdr:row>
      <xdr:rowOff>143435</xdr:rowOff>
    </xdr:from>
    <xdr:to>
      <xdr:col>14</xdr:col>
      <xdr:colOff>134470</xdr:colOff>
      <xdr:row>8</xdr:row>
      <xdr:rowOff>152401</xdr:rowOff>
    </xdr:to>
    <xdr:pic>
      <xdr:nvPicPr>
        <xdr:cNvPr id="22" name="Graphic 21" descr="Call center with solid fill">
          <a:extLst>
            <a:ext uri="{FF2B5EF4-FFF2-40B4-BE49-F238E27FC236}">
              <a16:creationId xmlns:a16="http://schemas.microsoft.com/office/drawing/2014/main" id="{1D45EC91-5D9E-1B9D-0216-06F4054543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122022" y="1039906"/>
          <a:ext cx="546848" cy="546848"/>
        </a:xfrm>
        <a:prstGeom prst="rect">
          <a:avLst/>
        </a:prstGeom>
      </xdr:spPr>
    </xdr:pic>
    <xdr:clientData/>
  </xdr:twoCellAnchor>
  <xdr:twoCellAnchor editAs="oneCell">
    <xdr:from>
      <xdr:col>16</xdr:col>
      <xdr:colOff>358588</xdr:colOff>
      <xdr:row>5</xdr:row>
      <xdr:rowOff>152400</xdr:rowOff>
    </xdr:from>
    <xdr:to>
      <xdr:col>17</xdr:col>
      <xdr:colOff>295835</xdr:colOff>
      <xdr:row>8</xdr:row>
      <xdr:rowOff>161365</xdr:rowOff>
    </xdr:to>
    <xdr:pic>
      <xdr:nvPicPr>
        <xdr:cNvPr id="24" name="Graphic 23" descr="Arrow circle with solid fill">
          <a:extLst>
            <a:ext uri="{FF2B5EF4-FFF2-40B4-BE49-F238E27FC236}">
              <a16:creationId xmlns:a16="http://schemas.microsoft.com/office/drawing/2014/main" id="{540E339F-53E1-2865-1347-CF0F0C005CA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112188" y="1048871"/>
          <a:ext cx="546847" cy="546847"/>
        </a:xfrm>
        <a:prstGeom prst="rect">
          <a:avLst/>
        </a:prstGeom>
      </xdr:spPr>
    </xdr:pic>
    <xdr:clientData/>
  </xdr:twoCellAnchor>
  <xdr:twoCellAnchor editAs="oneCell">
    <xdr:from>
      <xdr:col>2</xdr:col>
      <xdr:colOff>302809</xdr:colOff>
      <xdr:row>1</xdr:row>
      <xdr:rowOff>45321</xdr:rowOff>
    </xdr:from>
    <xdr:to>
      <xdr:col>3</xdr:col>
      <xdr:colOff>302811</xdr:colOff>
      <xdr:row>4</xdr:row>
      <xdr:rowOff>101599</xdr:rowOff>
    </xdr:to>
    <xdr:pic>
      <xdr:nvPicPr>
        <xdr:cNvPr id="26" name="Graphic 25" descr="Man with solid fill">
          <a:extLst>
            <a:ext uri="{FF2B5EF4-FFF2-40B4-BE49-F238E27FC236}">
              <a16:creationId xmlns:a16="http://schemas.microsoft.com/office/drawing/2014/main" id="{D2FA3318-C2DA-9798-31B6-5205D766AEA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9" y="231588"/>
          <a:ext cx="609602" cy="615078"/>
        </a:xfrm>
        <a:prstGeom prst="rect">
          <a:avLst/>
        </a:prstGeom>
      </xdr:spPr>
    </xdr:pic>
    <xdr:clientData/>
  </xdr:twoCellAnchor>
  <xdr:twoCellAnchor>
    <xdr:from>
      <xdr:col>3</xdr:col>
      <xdr:colOff>510988</xdr:colOff>
      <xdr:row>5</xdr:row>
      <xdr:rowOff>107575</xdr:rowOff>
    </xdr:from>
    <xdr:to>
      <xdr:col>5</xdr:col>
      <xdr:colOff>304800</xdr:colOff>
      <xdr:row>7</xdr:row>
      <xdr:rowOff>152400</xdr:rowOff>
    </xdr:to>
    <xdr:sp macro="" textlink="">
      <xdr:nvSpPr>
        <xdr:cNvPr id="27" name="TextBox 26">
          <a:extLst>
            <a:ext uri="{FF2B5EF4-FFF2-40B4-BE49-F238E27FC236}">
              <a16:creationId xmlns:a16="http://schemas.microsoft.com/office/drawing/2014/main" id="{72CE3C8D-D50A-702E-20B4-5088C5E7B678}"/>
            </a:ext>
          </a:extLst>
        </xdr:cNvPr>
        <xdr:cNvSpPr txBox="1"/>
      </xdr:nvSpPr>
      <xdr:spPr>
        <a:xfrm>
          <a:off x="2339788" y="1004046"/>
          <a:ext cx="1013012" cy="403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effectLst/>
            </a:rPr>
            <a:t>Overall</a:t>
          </a:r>
          <a:r>
            <a:rPr lang="en-US" sz="1400" baseline="0">
              <a:ln>
                <a:noFill/>
              </a:ln>
            </a:rPr>
            <a:t> HC</a:t>
          </a:r>
          <a:endParaRPr lang="en-US" sz="1400">
            <a:ln>
              <a:noFill/>
            </a:ln>
          </a:endParaRPr>
        </a:p>
      </xdr:txBody>
    </xdr:sp>
    <xdr:clientData/>
  </xdr:twoCellAnchor>
  <xdr:twoCellAnchor>
    <xdr:from>
      <xdr:col>7</xdr:col>
      <xdr:colOff>26894</xdr:colOff>
      <xdr:row>5</xdr:row>
      <xdr:rowOff>98611</xdr:rowOff>
    </xdr:from>
    <xdr:to>
      <xdr:col>9</xdr:col>
      <xdr:colOff>143435</xdr:colOff>
      <xdr:row>7</xdr:row>
      <xdr:rowOff>170330</xdr:rowOff>
    </xdr:to>
    <xdr:sp macro="" textlink="">
      <xdr:nvSpPr>
        <xdr:cNvPr id="33" name="TextBox 32">
          <a:extLst>
            <a:ext uri="{FF2B5EF4-FFF2-40B4-BE49-F238E27FC236}">
              <a16:creationId xmlns:a16="http://schemas.microsoft.com/office/drawing/2014/main" id="{016B3F50-448C-9C16-08D0-7B58BB74505D}"/>
            </a:ext>
          </a:extLst>
        </xdr:cNvPr>
        <xdr:cNvSpPr txBox="1"/>
      </xdr:nvSpPr>
      <xdr:spPr>
        <a:xfrm>
          <a:off x="4294094" y="995082"/>
          <a:ext cx="1335741" cy="430307"/>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000000"/>
              </a:solidFill>
              <a:latin typeface="Aptos Narrow"/>
              <a:ea typeface="+mn-ea"/>
              <a:cs typeface="+mn-cs"/>
            </a:rPr>
            <a:t>Active HC</a:t>
          </a:r>
        </a:p>
        <a:p>
          <a:pPr marL="0" indent="0" algn="ctr"/>
          <a:endParaRPr lang="en-US" sz="2800" b="0" i="0" u="none" strike="noStrike">
            <a:solidFill>
              <a:srgbClr val="000000"/>
            </a:solidFill>
            <a:latin typeface="Aptos Narrow"/>
            <a:ea typeface="+mn-ea"/>
            <a:cs typeface="+mn-cs"/>
          </a:endParaRPr>
        </a:p>
      </xdr:txBody>
    </xdr:sp>
    <xdr:clientData/>
  </xdr:twoCellAnchor>
  <xdr:twoCellAnchor>
    <xdr:from>
      <xdr:col>10</xdr:col>
      <xdr:colOff>573742</xdr:colOff>
      <xdr:row>5</xdr:row>
      <xdr:rowOff>143436</xdr:rowOff>
    </xdr:from>
    <xdr:to>
      <xdr:col>12</xdr:col>
      <xdr:colOff>412376</xdr:colOff>
      <xdr:row>7</xdr:row>
      <xdr:rowOff>170330</xdr:rowOff>
    </xdr:to>
    <xdr:sp macro="" textlink="">
      <xdr:nvSpPr>
        <xdr:cNvPr id="34" name="TextBox 33">
          <a:extLst>
            <a:ext uri="{FF2B5EF4-FFF2-40B4-BE49-F238E27FC236}">
              <a16:creationId xmlns:a16="http://schemas.microsoft.com/office/drawing/2014/main" id="{9E7006C8-F99E-C4C5-5A8B-5B25E764506C}"/>
            </a:ext>
          </a:extLst>
        </xdr:cNvPr>
        <xdr:cNvSpPr txBox="1"/>
      </xdr:nvSpPr>
      <xdr:spPr>
        <a:xfrm>
          <a:off x="6669742" y="1039907"/>
          <a:ext cx="1057834" cy="385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0" i="0" u="none" strike="noStrike">
              <a:ln>
                <a:noFill/>
              </a:ln>
              <a:solidFill>
                <a:srgbClr val="000000"/>
              </a:solidFill>
              <a:latin typeface="Aptos Narrow"/>
              <a:ea typeface="+mn-ea"/>
              <a:cs typeface="+mn-cs"/>
            </a:rPr>
            <a:t>Attrition</a:t>
          </a:r>
        </a:p>
      </xdr:txBody>
    </xdr:sp>
    <xdr:clientData/>
  </xdr:twoCellAnchor>
  <xdr:twoCellAnchor>
    <xdr:from>
      <xdr:col>14</xdr:col>
      <xdr:colOff>98613</xdr:colOff>
      <xdr:row>5</xdr:row>
      <xdr:rowOff>134470</xdr:rowOff>
    </xdr:from>
    <xdr:to>
      <xdr:col>16</xdr:col>
      <xdr:colOff>80683</xdr:colOff>
      <xdr:row>7</xdr:row>
      <xdr:rowOff>80682</xdr:rowOff>
    </xdr:to>
    <xdr:sp macro="" textlink="">
      <xdr:nvSpPr>
        <xdr:cNvPr id="35" name="TextBox 34">
          <a:extLst>
            <a:ext uri="{FF2B5EF4-FFF2-40B4-BE49-F238E27FC236}">
              <a16:creationId xmlns:a16="http://schemas.microsoft.com/office/drawing/2014/main" id="{05F8138E-D2EE-9A23-860B-776B57EBB5C1}"/>
            </a:ext>
          </a:extLst>
        </xdr:cNvPr>
        <xdr:cNvSpPr txBox="1"/>
      </xdr:nvSpPr>
      <xdr:spPr>
        <a:xfrm>
          <a:off x="8633013" y="1030941"/>
          <a:ext cx="120127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0" i="0" u="none" strike="noStrike">
              <a:ln>
                <a:noFill/>
              </a:ln>
              <a:solidFill>
                <a:srgbClr val="000000"/>
              </a:solidFill>
              <a:latin typeface="Aptos Narrow"/>
              <a:ea typeface="+mn-ea"/>
              <a:cs typeface="+mn-cs"/>
            </a:rPr>
            <a:t>Attrition</a:t>
          </a:r>
          <a:r>
            <a:rPr lang="en-US" sz="1400"/>
            <a:t> %</a:t>
          </a:r>
        </a:p>
      </xdr:txBody>
    </xdr:sp>
    <xdr:clientData/>
  </xdr:twoCellAnchor>
  <xdr:twoCellAnchor>
    <xdr:from>
      <xdr:col>17</xdr:col>
      <xdr:colOff>331694</xdr:colOff>
      <xdr:row>5</xdr:row>
      <xdr:rowOff>53789</xdr:rowOff>
    </xdr:from>
    <xdr:to>
      <xdr:col>19</xdr:col>
      <xdr:colOff>555812</xdr:colOff>
      <xdr:row>7</xdr:row>
      <xdr:rowOff>80683</xdr:rowOff>
    </xdr:to>
    <xdr:sp macro="" textlink="">
      <xdr:nvSpPr>
        <xdr:cNvPr id="40" name="TextBox 39">
          <a:extLst>
            <a:ext uri="{FF2B5EF4-FFF2-40B4-BE49-F238E27FC236}">
              <a16:creationId xmlns:a16="http://schemas.microsoft.com/office/drawing/2014/main" id="{98419A15-FEA2-5419-C0BA-F6FE2D89DD5C}"/>
            </a:ext>
          </a:extLst>
        </xdr:cNvPr>
        <xdr:cNvSpPr txBox="1"/>
      </xdr:nvSpPr>
      <xdr:spPr>
        <a:xfrm>
          <a:off x="10694894" y="950260"/>
          <a:ext cx="1443318" cy="385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u="none">
              <a:ln>
                <a:noFill/>
              </a:ln>
            </a:rPr>
            <a:t>Transfer</a:t>
          </a:r>
        </a:p>
      </xdr:txBody>
    </xdr:sp>
    <xdr:clientData/>
  </xdr:twoCellAnchor>
  <xdr:twoCellAnchor>
    <xdr:from>
      <xdr:col>3</xdr:col>
      <xdr:colOff>582705</xdr:colOff>
      <xdr:row>7</xdr:row>
      <xdr:rowOff>44824</xdr:rowOff>
    </xdr:from>
    <xdr:to>
      <xdr:col>5</xdr:col>
      <xdr:colOff>251011</xdr:colOff>
      <xdr:row>9</xdr:row>
      <xdr:rowOff>89647</xdr:rowOff>
    </xdr:to>
    <xdr:sp macro="" textlink="Pivot!C15">
      <xdr:nvSpPr>
        <xdr:cNvPr id="41" name="TextBox 40">
          <a:extLst>
            <a:ext uri="{FF2B5EF4-FFF2-40B4-BE49-F238E27FC236}">
              <a16:creationId xmlns:a16="http://schemas.microsoft.com/office/drawing/2014/main" id="{7AA87C00-40BB-B23B-73EB-B9895EC76260}"/>
            </a:ext>
          </a:extLst>
        </xdr:cNvPr>
        <xdr:cNvSpPr txBox="1"/>
      </xdr:nvSpPr>
      <xdr:spPr>
        <a:xfrm>
          <a:off x="2411505" y="1299883"/>
          <a:ext cx="887506" cy="40341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D88FD7-6276-4186-8D63-F83DB65B1563}" type="TxLink">
            <a:rPr lang="en-US" sz="2800" b="0" i="0" u="none" strike="noStrike">
              <a:solidFill>
                <a:srgbClr val="000000"/>
              </a:solidFill>
              <a:latin typeface="Aptos Narrow"/>
            </a:rPr>
            <a:pPr/>
            <a:t>171</a:t>
          </a:fld>
          <a:endParaRPr lang="en-US" sz="2800"/>
        </a:p>
      </xdr:txBody>
    </xdr:sp>
    <xdr:clientData/>
  </xdr:twoCellAnchor>
  <xdr:twoCellAnchor>
    <xdr:from>
      <xdr:col>7</xdr:col>
      <xdr:colOff>394448</xdr:colOff>
      <xdr:row>6</xdr:row>
      <xdr:rowOff>170330</xdr:rowOff>
    </xdr:from>
    <xdr:to>
      <xdr:col>8</xdr:col>
      <xdr:colOff>591672</xdr:colOff>
      <xdr:row>9</xdr:row>
      <xdr:rowOff>89647</xdr:rowOff>
    </xdr:to>
    <xdr:sp macro="" textlink="Pivot!C16">
      <xdr:nvSpPr>
        <xdr:cNvPr id="42" name="TextBox 41">
          <a:extLst>
            <a:ext uri="{FF2B5EF4-FFF2-40B4-BE49-F238E27FC236}">
              <a16:creationId xmlns:a16="http://schemas.microsoft.com/office/drawing/2014/main" id="{E11E9010-5DDF-B7FE-F2B5-7E724BF84FCB}"/>
            </a:ext>
          </a:extLst>
        </xdr:cNvPr>
        <xdr:cNvSpPr txBox="1"/>
      </xdr:nvSpPr>
      <xdr:spPr>
        <a:xfrm>
          <a:off x="4661648" y="1246095"/>
          <a:ext cx="806824" cy="457199"/>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0E6341F-9317-49AB-965C-7D1FCFFB2DE5}" type="TxLink">
            <a:rPr lang="en-US" sz="2800" b="0" i="0" u="none" strike="noStrike">
              <a:solidFill>
                <a:srgbClr val="000000"/>
              </a:solidFill>
              <a:latin typeface="Aptos Narrow"/>
              <a:ea typeface="+mn-ea"/>
              <a:cs typeface="+mn-cs"/>
            </a:rPr>
            <a:pPr marL="0" indent="0"/>
            <a:t>118</a:t>
          </a:fld>
          <a:endParaRPr lang="en-US" sz="2800" b="0" i="0" u="none" strike="noStrike">
            <a:solidFill>
              <a:srgbClr val="000000"/>
            </a:solidFill>
            <a:latin typeface="Aptos Narrow"/>
            <a:ea typeface="+mn-ea"/>
            <a:cs typeface="+mn-cs"/>
          </a:endParaRPr>
        </a:p>
      </xdr:txBody>
    </xdr:sp>
    <xdr:clientData/>
  </xdr:twoCellAnchor>
  <xdr:twoCellAnchor>
    <xdr:from>
      <xdr:col>11</xdr:col>
      <xdr:colOff>105335</xdr:colOff>
      <xdr:row>7</xdr:row>
      <xdr:rowOff>57264</xdr:rowOff>
    </xdr:from>
    <xdr:to>
      <xdr:col>12</xdr:col>
      <xdr:colOff>302559</xdr:colOff>
      <xdr:row>9</xdr:row>
      <xdr:rowOff>35860</xdr:rowOff>
    </xdr:to>
    <xdr:sp macro="" textlink="Pivot!C17">
      <xdr:nvSpPr>
        <xdr:cNvPr id="45" name="TextBox 44">
          <a:extLst>
            <a:ext uri="{FF2B5EF4-FFF2-40B4-BE49-F238E27FC236}">
              <a16:creationId xmlns:a16="http://schemas.microsoft.com/office/drawing/2014/main" id="{C5362BBA-7D61-4751-80C3-08EE93425786}"/>
            </a:ext>
          </a:extLst>
        </xdr:cNvPr>
        <xdr:cNvSpPr txBox="1"/>
      </xdr:nvSpPr>
      <xdr:spPr>
        <a:xfrm>
          <a:off x="6810935" y="1312323"/>
          <a:ext cx="806824" cy="337184"/>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838942A-504C-4C79-8F55-6853271A5A2B}" type="TxLink">
            <a:rPr lang="en-US" sz="2800" b="0" i="0" u="none" strike="noStrike">
              <a:solidFill>
                <a:srgbClr val="000000"/>
              </a:solidFill>
              <a:latin typeface="Aptos Narrow"/>
              <a:ea typeface="+mn-ea"/>
              <a:cs typeface="+mn-cs"/>
            </a:rPr>
            <a:pPr marL="0" indent="0" algn="ctr"/>
            <a:t>47</a:t>
          </a:fld>
          <a:endParaRPr lang="en-US" sz="6000" b="0" i="0" u="none" strike="noStrike">
            <a:solidFill>
              <a:srgbClr val="000000"/>
            </a:solidFill>
            <a:latin typeface="Aptos Narrow"/>
            <a:ea typeface="+mn-ea"/>
            <a:cs typeface="+mn-cs"/>
          </a:endParaRPr>
        </a:p>
      </xdr:txBody>
    </xdr:sp>
    <xdr:clientData/>
  </xdr:twoCellAnchor>
  <xdr:twoCellAnchor>
    <xdr:from>
      <xdr:col>17</xdr:col>
      <xdr:colOff>472888</xdr:colOff>
      <xdr:row>6</xdr:row>
      <xdr:rowOff>155874</xdr:rowOff>
    </xdr:from>
    <xdr:to>
      <xdr:col>19</xdr:col>
      <xdr:colOff>60512</xdr:colOff>
      <xdr:row>9</xdr:row>
      <xdr:rowOff>75191</xdr:rowOff>
    </xdr:to>
    <xdr:sp macro="" textlink="Pivot!C19">
      <xdr:nvSpPr>
        <xdr:cNvPr id="47" name="TextBox 46">
          <a:extLst>
            <a:ext uri="{FF2B5EF4-FFF2-40B4-BE49-F238E27FC236}">
              <a16:creationId xmlns:a16="http://schemas.microsoft.com/office/drawing/2014/main" id="{D4C6E965-398F-470C-B473-CCBD0234738C}"/>
            </a:ext>
          </a:extLst>
        </xdr:cNvPr>
        <xdr:cNvSpPr txBox="1"/>
      </xdr:nvSpPr>
      <xdr:spPr>
        <a:xfrm>
          <a:off x="10836088" y="1231639"/>
          <a:ext cx="806824" cy="457199"/>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18A8E9-3850-4793-A878-7DEEAB52D000}" type="TxLink">
            <a:rPr lang="en-US" sz="2800" b="0" i="0" u="none" strike="noStrike">
              <a:solidFill>
                <a:srgbClr val="000000"/>
              </a:solidFill>
              <a:latin typeface="Aptos Narrow"/>
              <a:ea typeface="+mn-ea"/>
              <a:cs typeface="+mn-cs"/>
            </a:rPr>
            <a:pPr marL="0" indent="0" algn="ctr"/>
            <a:t>6</a:t>
          </a:fld>
          <a:endParaRPr lang="en-US" sz="6000" b="0" i="0" u="none" strike="noStrike">
            <a:solidFill>
              <a:srgbClr val="000000"/>
            </a:solidFill>
            <a:latin typeface="Aptos Narrow"/>
            <a:ea typeface="+mn-ea"/>
            <a:cs typeface="+mn-cs"/>
          </a:endParaRPr>
        </a:p>
      </xdr:txBody>
    </xdr:sp>
    <xdr:clientData/>
  </xdr:twoCellAnchor>
  <xdr:twoCellAnchor>
    <xdr:from>
      <xdr:col>14</xdr:col>
      <xdr:colOff>338416</xdr:colOff>
      <xdr:row>7</xdr:row>
      <xdr:rowOff>134470</xdr:rowOff>
    </xdr:from>
    <xdr:to>
      <xdr:col>16</xdr:col>
      <xdr:colOff>44823</xdr:colOff>
      <xdr:row>9</xdr:row>
      <xdr:rowOff>66228</xdr:rowOff>
    </xdr:to>
    <xdr:sp macro="" textlink="Pivot!C18">
      <xdr:nvSpPr>
        <xdr:cNvPr id="48" name="TextBox 47">
          <a:extLst>
            <a:ext uri="{FF2B5EF4-FFF2-40B4-BE49-F238E27FC236}">
              <a16:creationId xmlns:a16="http://schemas.microsoft.com/office/drawing/2014/main" id="{E3D1A68E-A26B-4129-9D16-AC5AC0BD7D11}"/>
            </a:ext>
          </a:extLst>
        </xdr:cNvPr>
        <xdr:cNvSpPr txBox="1"/>
      </xdr:nvSpPr>
      <xdr:spPr>
        <a:xfrm>
          <a:off x="8872816" y="1389529"/>
          <a:ext cx="925607" cy="290346"/>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5F3F632-991D-430E-934F-EF9642BBECE1}" type="TxLink">
            <a:rPr lang="en-US" sz="2800" b="0" i="0" u="none" strike="noStrike">
              <a:solidFill>
                <a:srgbClr val="000000"/>
              </a:solidFill>
              <a:latin typeface="Aptos Narrow"/>
              <a:ea typeface="+mn-ea"/>
              <a:cs typeface="+mn-cs"/>
            </a:rPr>
            <a:pPr marL="0" indent="0" algn="ctr"/>
            <a:t>27%</a:t>
          </a:fld>
          <a:endParaRPr lang="en-US" sz="6000" b="0" i="0" u="none" strike="noStrike">
            <a:solidFill>
              <a:srgbClr val="000000"/>
            </a:solidFill>
            <a:latin typeface="Aptos Narrow"/>
            <a:ea typeface="+mn-ea"/>
            <a:cs typeface="+mn-cs"/>
          </a:endParaRPr>
        </a:p>
      </xdr:txBody>
    </xdr:sp>
    <xdr:clientData/>
  </xdr:twoCellAnchor>
  <xdr:twoCellAnchor>
    <xdr:from>
      <xdr:col>2</xdr:col>
      <xdr:colOff>233081</xdr:colOff>
      <xdr:row>12</xdr:row>
      <xdr:rowOff>80683</xdr:rowOff>
    </xdr:from>
    <xdr:to>
      <xdr:col>8</xdr:col>
      <xdr:colOff>286871</xdr:colOff>
      <xdr:row>22</xdr:row>
      <xdr:rowOff>161363</xdr:rowOff>
    </xdr:to>
    <xdr:graphicFrame macro="">
      <xdr:nvGraphicFramePr>
        <xdr:cNvPr id="55" name="Chart 54">
          <a:extLst>
            <a:ext uri="{FF2B5EF4-FFF2-40B4-BE49-F238E27FC236}">
              <a16:creationId xmlns:a16="http://schemas.microsoft.com/office/drawing/2014/main" id="{9058F071-FD4D-47F2-A987-EA1E46EE71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215039</xdr:colOff>
      <xdr:row>10</xdr:row>
      <xdr:rowOff>165398</xdr:rowOff>
    </xdr:from>
    <xdr:to>
      <xdr:col>8</xdr:col>
      <xdr:colOff>313764</xdr:colOff>
      <xdr:row>12</xdr:row>
      <xdr:rowOff>107577</xdr:rowOff>
    </xdr:to>
    <xdr:sp macro="" textlink="">
      <xdr:nvSpPr>
        <xdr:cNvPr id="56" name="TextBox 55">
          <a:extLst>
            <a:ext uri="{FF2B5EF4-FFF2-40B4-BE49-F238E27FC236}">
              <a16:creationId xmlns:a16="http://schemas.microsoft.com/office/drawing/2014/main" id="{7948C4E1-7E53-4D62-86C4-DEEE4632403F}"/>
            </a:ext>
          </a:extLst>
        </xdr:cNvPr>
        <xdr:cNvSpPr txBox="1"/>
      </xdr:nvSpPr>
      <xdr:spPr>
        <a:xfrm>
          <a:off x="1434239" y="1958339"/>
          <a:ext cx="3756325" cy="300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effectLst/>
            </a:rPr>
            <a:t>HC</a:t>
          </a:r>
          <a:r>
            <a:rPr lang="en-US" sz="1400" baseline="0">
              <a:ln>
                <a:noFill/>
              </a:ln>
              <a:effectLst/>
            </a:rPr>
            <a:t> Growth</a:t>
          </a:r>
          <a:endParaRPr lang="en-US" sz="1400">
            <a:ln>
              <a:noFill/>
            </a:ln>
          </a:endParaRPr>
        </a:p>
      </xdr:txBody>
    </xdr:sp>
    <xdr:clientData/>
  </xdr:twoCellAnchor>
  <xdr:twoCellAnchor>
    <xdr:from>
      <xdr:col>8</xdr:col>
      <xdr:colOff>412377</xdr:colOff>
      <xdr:row>12</xdr:row>
      <xdr:rowOff>53789</xdr:rowOff>
    </xdr:from>
    <xdr:to>
      <xdr:col>13</xdr:col>
      <xdr:colOff>313766</xdr:colOff>
      <xdr:row>22</xdr:row>
      <xdr:rowOff>116540</xdr:rowOff>
    </xdr:to>
    <xdr:graphicFrame macro="">
      <xdr:nvGraphicFramePr>
        <xdr:cNvPr id="4" name="Chart 3">
          <a:extLst>
            <a:ext uri="{FF2B5EF4-FFF2-40B4-BE49-F238E27FC236}">
              <a16:creationId xmlns:a16="http://schemas.microsoft.com/office/drawing/2014/main" id="{F23668FB-0E5D-4B0A-820A-0EC47B9D5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11</xdr:col>
      <xdr:colOff>313764</xdr:colOff>
      <xdr:row>18</xdr:row>
      <xdr:rowOff>62753</xdr:rowOff>
    </xdr:from>
    <xdr:to>
      <xdr:col>12</xdr:col>
      <xdr:colOff>295835</xdr:colOff>
      <xdr:row>21</xdr:row>
      <xdr:rowOff>116542</xdr:rowOff>
    </xdr:to>
    <xdr:pic>
      <xdr:nvPicPr>
        <xdr:cNvPr id="15" name="Graphic 14" descr="Woman with solid fill">
          <a:extLst>
            <a:ext uri="{FF2B5EF4-FFF2-40B4-BE49-F238E27FC236}">
              <a16:creationId xmlns:a16="http://schemas.microsoft.com/office/drawing/2014/main" id="{1B80546D-5217-D600-C995-8C5F2B660D5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7019364" y="3290047"/>
          <a:ext cx="591671" cy="591671"/>
        </a:xfrm>
        <a:prstGeom prst="rect">
          <a:avLst/>
        </a:prstGeom>
      </xdr:spPr>
    </xdr:pic>
    <xdr:clientData/>
  </xdr:twoCellAnchor>
  <xdr:twoCellAnchor>
    <xdr:from>
      <xdr:col>17</xdr:col>
      <xdr:colOff>445993</xdr:colOff>
      <xdr:row>6</xdr:row>
      <xdr:rowOff>164839</xdr:rowOff>
    </xdr:from>
    <xdr:to>
      <xdr:col>19</xdr:col>
      <xdr:colOff>33617</xdr:colOff>
      <xdr:row>9</xdr:row>
      <xdr:rowOff>84156</xdr:rowOff>
    </xdr:to>
    <xdr:sp macro="" textlink="Pivot!C19">
      <xdr:nvSpPr>
        <xdr:cNvPr id="17" name="TextBox 16">
          <a:extLst>
            <a:ext uri="{FF2B5EF4-FFF2-40B4-BE49-F238E27FC236}">
              <a16:creationId xmlns:a16="http://schemas.microsoft.com/office/drawing/2014/main" id="{AE19C61A-F4E6-02CD-FD38-964DE19B4E1B}"/>
            </a:ext>
          </a:extLst>
        </xdr:cNvPr>
        <xdr:cNvSpPr txBox="1"/>
      </xdr:nvSpPr>
      <xdr:spPr>
        <a:xfrm>
          <a:off x="10809193" y="1240604"/>
          <a:ext cx="806824" cy="457199"/>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18A8E9-3850-4793-A878-7DEEAB52D000}" type="TxLink">
            <a:rPr lang="en-US" sz="2800" b="0" i="0" u="none" strike="noStrike">
              <a:solidFill>
                <a:srgbClr val="000000"/>
              </a:solidFill>
              <a:latin typeface="Aptos Narrow"/>
              <a:ea typeface="+mn-ea"/>
              <a:cs typeface="+mn-cs"/>
            </a:rPr>
            <a:pPr marL="0" indent="0" algn="ctr"/>
            <a:t>6</a:t>
          </a:fld>
          <a:endParaRPr lang="en-US" sz="6000" b="0" i="0" u="none" strike="noStrike">
            <a:solidFill>
              <a:srgbClr val="000000"/>
            </a:solidFill>
            <a:latin typeface="Aptos Narrow"/>
            <a:ea typeface="+mn-ea"/>
            <a:cs typeface="+mn-cs"/>
          </a:endParaRPr>
        </a:p>
      </xdr:txBody>
    </xdr:sp>
    <xdr:clientData/>
  </xdr:twoCellAnchor>
  <xdr:twoCellAnchor>
    <xdr:from>
      <xdr:col>12</xdr:col>
      <xdr:colOff>286869</xdr:colOff>
      <xdr:row>15</xdr:row>
      <xdr:rowOff>62753</xdr:rowOff>
    </xdr:from>
    <xdr:to>
      <xdr:col>13</xdr:col>
      <xdr:colOff>188258</xdr:colOff>
      <xdr:row>16</xdr:row>
      <xdr:rowOff>107576</xdr:rowOff>
    </xdr:to>
    <xdr:sp macro="" textlink="">
      <xdr:nvSpPr>
        <xdr:cNvPr id="19" name="TextBox 18">
          <a:extLst>
            <a:ext uri="{FF2B5EF4-FFF2-40B4-BE49-F238E27FC236}">
              <a16:creationId xmlns:a16="http://schemas.microsoft.com/office/drawing/2014/main" id="{7622424A-12F9-4567-4719-6A16F031BB1D}"/>
            </a:ext>
          </a:extLst>
        </xdr:cNvPr>
        <xdr:cNvSpPr txBox="1"/>
      </xdr:nvSpPr>
      <xdr:spPr>
        <a:xfrm>
          <a:off x="7602069" y="2752165"/>
          <a:ext cx="510989" cy="2241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Male</a:t>
          </a:r>
        </a:p>
        <a:p>
          <a:endParaRPr lang="en-US" sz="1100"/>
        </a:p>
      </xdr:txBody>
    </xdr:sp>
    <xdr:clientData/>
  </xdr:twoCellAnchor>
  <xdr:twoCellAnchor>
    <xdr:from>
      <xdr:col>12</xdr:col>
      <xdr:colOff>403412</xdr:colOff>
      <xdr:row>13</xdr:row>
      <xdr:rowOff>89647</xdr:rowOff>
    </xdr:from>
    <xdr:to>
      <xdr:col>13</xdr:col>
      <xdr:colOff>134471</xdr:colOff>
      <xdr:row>14</xdr:row>
      <xdr:rowOff>134470</xdr:rowOff>
    </xdr:to>
    <xdr:sp macro="" textlink="Pivot!L16">
      <xdr:nvSpPr>
        <xdr:cNvPr id="21" name="Rectangle 20">
          <a:extLst>
            <a:ext uri="{FF2B5EF4-FFF2-40B4-BE49-F238E27FC236}">
              <a16:creationId xmlns:a16="http://schemas.microsoft.com/office/drawing/2014/main" id="{5A1DECF3-8987-201A-8936-DD7F59ED6714}"/>
            </a:ext>
          </a:extLst>
        </xdr:cNvPr>
        <xdr:cNvSpPr/>
      </xdr:nvSpPr>
      <xdr:spPr>
        <a:xfrm>
          <a:off x="7718612" y="2420471"/>
          <a:ext cx="340659" cy="224117"/>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FCD84C7-110F-4BDA-A8B0-D9FE9A691388}" type="TxLink">
            <a:rPr lang="en-US" sz="1100" b="0" i="0" u="none" strike="noStrike">
              <a:ln>
                <a:noFill/>
              </a:ln>
              <a:solidFill>
                <a:srgbClr val="000000"/>
              </a:solidFill>
              <a:latin typeface="Aptos Narrow"/>
            </a:rPr>
            <a:pPr algn="l"/>
            <a:t>73</a:t>
          </a:fld>
          <a:endParaRPr lang="en-US" sz="1100">
            <a:ln>
              <a:noFill/>
            </a:ln>
          </a:endParaRPr>
        </a:p>
      </xdr:txBody>
    </xdr:sp>
    <xdr:clientData/>
  </xdr:twoCellAnchor>
  <xdr:twoCellAnchor>
    <xdr:from>
      <xdr:col>9</xdr:col>
      <xdr:colOff>421342</xdr:colOff>
      <xdr:row>10</xdr:row>
      <xdr:rowOff>161365</xdr:rowOff>
    </xdr:from>
    <xdr:to>
      <xdr:col>11</xdr:col>
      <xdr:colOff>537884</xdr:colOff>
      <xdr:row>12</xdr:row>
      <xdr:rowOff>71719</xdr:rowOff>
    </xdr:to>
    <xdr:sp macro="" textlink="">
      <xdr:nvSpPr>
        <xdr:cNvPr id="25" name="Rectangle 24">
          <a:extLst>
            <a:ext uri="{FF2B5EF4-FFF2-40B4-BE49-F238E27FC236}">
              <a16:creationId xmlns:a16="http://schemas.microsoft.com/office/drawing/2014/main" id="{AC4F236D-81E0-7D5A-5DA0-7B794896F06D}"/>
            </a:ext>
          </a:extLst>
        </xdr:cNvPr>
        <xdr:cNvSpPr/>
      </xdr:nvSpPr>
      <xdr:spPr>
        <a:xfrm>
          <a:off x="5907742" y="1954306"/>
          <a:ext cx="1335742" cy="268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ln>
                <a:noFill/>
              </a:ln>
              <a:solidFill>
                <a:sysClr val="windowText" lastClr="000000"/>
              </a:solidFill>
              <a:effectLst>
                <a:outerShdw blurRad="50800" dist="38100" dir="2700000" algn="tl" rotWithShape="0">
                  <a:prstClr val="black">
                    <a:alpha val="40000"/>
                  </a:prstClr>
                </a:outerShdw>
              </a:effectLst>
            </a:rPr>
            <a:t>deversity %</a:t>
          </a:r>
        </a:p>
      </xdr:txBody>
    </xdr:sp>
    <xdr:clientData/>
  </xdr:twoCellAnchor>
  <xdr:twoCellAnchor>
    <xdr:from>
      <xdr:col>13</xdr:col>
      <xdr:colOff>509493</xdr:colOff>
      <xdr:row>12</xdr:row>
      <xdr:rowOff>71718</xdr:rowOff>
    </xdr:from>
    <xdr:to>
      <xdr:col>19</xdr:col>
      <xdr:colOff>186764</xdr:colOff>
      <xdr:row>22</xdr:row>
      <xdr:rowOff>62752</xdr:rowOff>
    </xdr:to>
    <xdr:graphicFrame macro="">
      <xdr:nvGraphicFramePr>
        <xdr:cNvPr id="28" name="Chart 27">
          <a:extLst>
            <a:ext uri="{FF2B5EF4-FFF2-40B4-BE49-F238E27FC236}">
              <a16:creationId xmlns:a16="http://schemas.microsoft.com/office/drawing/2014/main" id="{FC0EC7ED-6ABD-46FD-8836-EF64A1402A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17</xdr:col>
      <xdr:colOff>448236</xdr:colOff>
      <xdr:row>12</xdr:row>
      <xdr:rowOff>2</xdr:rowOff>
    </xdr:from>
    <xdr:to>
      <xdr:col>19</xdr:col>
      <xdr:colOff>439270</xdr:colOff>
      <xdr:row>13</xdr:row>
      <xdr:rowOff>71719</xdr:rowOff>
    </xdr:to>
    <xdr:sp macro="" textlink="">
      <xdr:nvSpPr>
        <xdr:cNvPr id="29" name="TextBox 28">
          <a:extLst>
            <a:ext uri="{FF2B5EF4-FFF2-40B4-BE49-F238E27FC236}">
              <a16:creationId xmlns:a16="http://schemas.microsoft.com/office/drawing/2014/main" id="{361CDBD0-004F-9E2C-FA3C-B305611F8929}"/>
            </a:ext>
          </a:extLst>
        </xdr:cNvPr>
        <xdr:cNvSpPr txBox="1"/>
      </xdr:nvSpPr>
      <xdr:spPr>
        <a:xfrm>
          <a:off x="10811436" y="2151531"/>
          <a:ext cx="1210234" cy="251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Management</a:t>
          </a:r>
        </a:p>
      </xdr:txBody>
    </xdr:sp>
    <xdr:clientData/>
  </xdr:twoCellAnchor>
  <xdr:twoCellAnchor>
    <xdr:from>
      <xdr:col>17</xdr:col>
      <xdr:colOff>439270</xdr:colOff>
      <xdr:row>14</xdr:row>
      <xdr:rowOff>98612</xdr:rowOff>
    </xdr:from>
    <xdr:to>
      <xdr:col>19</xdr:col>
      <xdr:colOff>313764</xdr:colOff>
      <xdr:row>15</xdr:row>
      <xdr:rowOff>161365</xdr:rowOff>
    </xdr:to>
    <xdr:sp macro="" textlink="">
      <xdr:nvSpPr>
        <xdr:cNvPr id="32" name="TextBox 31">
          <a:extLst>
            <a:ext uri="{FF2B5EF4-FFF2-40B4-BE49-F238E27FC236}">
              <a16:creationId xmlns:a16="http://schemas.microsoft.com/office/drawing/2014/main" id="{671D5AC5-4FCA-3F99-A2D6-4C71CC512AE5}"/>
            </a:ext>
          </a:extLst>
        </xdr:cNvPr>
        <xdr:cNvSpPr txBox="1"/>
      </xdr:nvSpPr>
      <xdr:spPr>
        <a:xfrm>
          <a:off x="10802470" y="2608730"/>
          <a:ext cx="1093694" cy="242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Profetional</a:t>
          </a:r>
        </a:p>
        <a:p>
          <a:endParaRPr lang="en-US" sz="1100"/>
        </a:p>
      </xdr:txBody>
    </xdr:sp>
    <xdr:clientData/>
  </xdr:twoCellAnchor>
  <xdr:twoCellAnchor>
    <xdr:from>
      <xdr:col>17</xdr:col>
      <xdr:colOff>528917</xdr:colOff>
      <xdr:row>17</xdr:row>
      <xdr:rowOff>62753</xdr:rowOff>
    </xdr:from>
    <xdr:to>
      <xdr:col>19</xdr:col>
      <xdr:colOff>304800</xdr:colOff>
      <xdr:row>18</xdr:row>
      <xdr:rowOff>170329</xdr:rowOff>
    </xdr:to>
    <xdr:sp macro="" textlink="">
      <xdr:nvSpPr>
        <xdr:cNvPr id="49" name="TextBox 48">
          <a:extLst>
            <a:ext uri="{FF2B5EF4-FFF2-40B4-BE49-F238E27FC236}">
              <a16:creationId xmlns:a16="http://schemas.microsoft.com/office/drawing/2014/main" id="{8F1CF559-A57D-547A-7887-8D276070A184}"/>
            </a:ext>
          </a:extLst>
        </xdr:cNvPr>
        <xdr:cNvSpPr txBox="1"/>
      </xdr:nvSpPr>
      <xdr:spPr>
        <a:xfrm>
          <a:off x="10892117" y="3110753"/>
          <a:ext cx="995083"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Trainees</a:t>
          </a:r>
        </a:p>
      </xdr:txBody>
    </xdr:sp>
    <xdr:clientData/>
  </xdr:twoCellAnchor>
  <xdr:twoCellAnchor>
    <xdr:from>
      <xdr:col>17</xdr:col>
      <xdr:colOff>519953</xdr:colOff>
      <xdr:row>19</xdr:row>
      <xdr:rowOff>152401</xdr:rowOff>
    </xdr:from>
    <xdr:to>
      <xdr:col>19</xdr:col>
      <xdr:colOff>197224</xdr:colOff>
      <xdr:row>21</xdr:row>
      <xdr:rowOff>44825</xdr:rowOff>
    </xdr:to>
    <xdr:sp macro="" textlink="">
      <xdr:nvSpPr>
        <xdr:cNvPr id="50" name="TextBox 49">
          <a:extLst>
            <a:ext uri="{FF2B5EF4-FFF2-40B4-BE49-F238E27FC236}">
              <a16:creationId xmlns:a16="http://schemas.microsoft.com/office/drawing/2014/main" id="{EA3F4BD0-B4ED-C49E-9AA2-4CBBC1967030}"/>
            </a:ext>
          </a:extLst>
        </xdr:cNvPr>
        <xdr:cNvSpPr txBox="1"/>
      </xdr:nvSpPr>
      <xdr:spPr>
        <a:xfrm>
          <a:off x="10883153" y="3558989"/>
          <a:ext cx="896471" cy="251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Contract</a:t>
          </a:r>
        </a:p>
      </xdr:txBody>
    </xdr:sp>
    <xdr:clientData/>
  </xdr:twoCellAnchor>
  <xdr:twoCellAnchor>
    <xdr:from>
      <xdr:col>18</xdr:col>
      <xdr:colOff>80683</xdr:colOff>
      <xdr:row>13</xdr:row>
      <xdr:rowOff>26894</xdr:rowOff>
    </xdr:from>
    <xdr:to>
      <xdr:col>19</xdr:col>
      <xdr:colOff>152400</xdr:colOff>
      <xdr:row>14</xdr:row>
      <xdr:rowOff>26894</xdr:rowOff>
    </xdr:to>
    <xdr:sp macro="" textlink="Pivot!P16">
      <xdr:nvSpPr>
        <xdr:cNvPr id="51" name="TextBox 50">
          <a:extLst>
            <a:ext uri="{FF2B5EF4-FFF2-40B4-BE49-F238E27FC236}">
              <a16:creationId xmlns:a16="http://schemas.microsoft.com/office/drawing/2014/main" id="{CC291EC4-61C6-B8F9-32C9-2994FAF5D008}"/>
            </a:ext>
          </a:extLst>
        </xdr:cNvPr>
        <xdr:cNvSpPr txBox="1"/>
      </xdr:nvSpPr>
      <xdr:spPr>
        <a:xfrm>
          <a:off x="11053483" y="2357718"/>
          <a:ext cx="681317" cy="179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AB8D1D-9607-469C-BAE6-17122D555A81}" type="TxLink">
            <a:rPr lang="en-US" sz="1100" b="0" i="0" u="none" strike="noStrike">
              <a:solidFill>
                <a:srgbClr val="000000"/>
              </a:solidFill>
              <a:latin typeface="Aptos Narrow"/>
            </a:rPr>
            <a:pPr algn="ctr"/>
            <a:t>21</a:t>
          </a:fld>
          <a:endParaRPr lang="en-US" sz="1100"/>
        </a:p>
      </xdr:txBody>
    </xdr:sp>
    <xdr:clientData/>
  </xdr:twoCellAnchor>
  <xdr:twoCellAnchor>
    <xdr:from>
      <xdr:col>18</xdr:col>
      <xdr:colOff>98612</xdr:colOff>
      <xdr:row>15</xdr:row>
      <xdr:rowOff>170330</xdr:rowOff>
    </xdr:from>
    <xdr:to>
      <xdr:col>19</xdr:col>
      <xdr:colOff>53788</xdr:colOff>
      <xdr:row>16</xdr:row>
      <xdr:rowOff>152401</xdr:rowOff>
    </xdr:to>
    <xdr:sp macro="" textlink="Pivot!P17">
      <xdr:nvSpPr>
        <xdr:cNvPr id="54" name="TextBox 53">
          <a:extLst>
            <a:ext uri="{FF2B5EF4-FFF2-40B4-BE49-F238E27FC236}">
              <a16:creationId xmlns:a16="http://schemas.microsoft.com/office/drawing/2014/main" id="{C7966DD3-9699-E8E3-7B9D-58C11F679834}"/>
            </a:ext>
          </a:extLst>
        </xdr:cNvPr>
        <xdr:cNvSpPr txBox="1"/>
      </xdr:nvSpPr>
      <xdr:spPr>
        <a:xfrm>
          <a:off x="11071412" y="2859742"/>
          <a:ext cx="564776" cy="1613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036E81-F006-41C7-98FE-E1B8F8B4A354}" type="TxLink">
            <a:rPr lang="en-US" sz="1100" b="0" i="0" u="none" strike="noStrike">
              <a:solidFill>
                <a:srgbClr val="000000"/>
              </a:solidFill>
              <a:latin typeface="Aptos Narrow"/>
            </a:rPr>
            <a:pPr algn="ctr"/>
            <a:t>43</a:t>
          </a:fld>
          <a:endParaRPr lang="en-US" sz="1100"/>
        </a:p>
      </xdr:txBody>
    </xdr:sp>
    <xdr:clientData/>
  </xdr:twoCellAnchor>
  <xdr:twoCellAnchor>
    <xdr:from>
      <xdr:col>18</xdr:col>
      <xdr:colOff>35859</xdr:colOff>
      <xdr:row>18</xdr:row>
      <xdr:rowOff>62754</xdr:rowOff>
    </xdr:from>
    <xdr:to>
      <xdr:col>19</xdr:col>
      <xdr:colOff>161365</xdr:colOff>
      <xdr:row>19</xdr:row>
      <xdr:rowOff>170330</xdr:rowOff>
    </xdr:to>
    <xdr:sp macro="" textlink="Pivot!P18">
      <xdr:nvSpPr>
        <xdr:cNvPr id="58" name="TextBox 57">
          <a:extLst>
            <a:ext uri="{FF2B5EF4-FFF2-40B4-BE49-F238E27FC236}">
              <a16:creationId xmlns:a16="http://schemas.microsoft.com/office/drawing/2014/main" id="{6DD018A7-7B2E-A452-0CB2-7104171451FD}"/>
            </a:ext>
          </a:extLst>
        </xdr:cNvPr>
        <xdr:cNvSpPr txBox="1"/>
      </xdr:nvSpPr>
      <xdr:spPr>
        <a:xfrm>
          <a:off x="11008659" y="3290048"/>
          <a:ext cx="735106"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067A3C-8198-480E-A41B-F653D03CFB74}" type="TxLink">
            <a:rPr lang="en-US" sz="1100" b="0" i="0" u="none" strike="noStrike">
              <a:solidFill>
                <a:srgbClr val="000000"/>
              </a:solidFill>
              <a:latin typeface="Aptos Narrow"/>
            </a:rPr>
            <a:pPr algn="ctr"/>
            <a:t>41</a:t>
          </a:fld>
          <a:endParaRPr lang="en-US" sz="1100"/>
        </a:p>
      </xdr:txBody>
    </xdr:sp>
    <xdr:clientData/>
  </xdr:twoCellAnchor>
  <xdr:twoCellAnchor>
    <xdr:from>
      <xdr:col>17</xdr:col>
      <xdr:colOff>573740</xdr:colOff>
      <xdr:row>21</xdr:row>
      <xdr:rowOff>17930</xdr:rowOff>
    </xdr:from>
    <xdr:to>
      <xdr:col>19</xdr:col>
      <xdr:colOff>125505</xdr:colOff>
      <xdr:row>22</xdr:row>
      <xdr:rowOff>26894</xdr:rowOff>
    </xdr:to>
    <xdr:sp macro="" textlink="Pivot!P15">
      <xdr:nvSpPr>
        <xdr:cNvPr id="59" name="TextBox 58">
          <a:extLst>
            <a:ext uri="{FF2B5EF4-FFF2-40B4-BE49-F238E27FC236}">
              <a16:creationId xmlns:a16="http://schemas.microsoft.com/office/drawing/2014/main" id="{C8BD182F-934A-6E8C-8470-03F5BB9F4841}"/>
            </a:ext>
          </a:extLst>
        </xdr:cNvPr>
        <xdr:cNvSpPr txBox="1"/>
      </xdr:nvSpPr>
      <xdr:spPr>
        <a:xfrm>
          <a:off x="10936940" y="3783106"/>
          <a:ext cx="770965" cy="188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3BF671-57D8-45F8-BA1E-05A6C61C4325}" type="TxLink">
            <a:rPr lang="en-US" sz="1100" b="0" i="0" u="none" strike="noStrike">
              <a:solidFill>
                <a:srgbClr val="000000"/>
              </a:solidFill>
              <a:latin typeface="Aptos Narrow"/>
            </a:rPr>
            <a:pPr algn="ctr"/>
            <a:t>13</a:t>
          </a:fld>
          <a:endParaRPr lang="en-US" sz="1100"/>
        </a:p>
      </xdr:txBody>
    </xdr:sp>
    <xdr:clientData/>
  </xdr:twoCellAnchor>
  <xdr:twoCellAnchor>
    <xdr:from>
      <xdr:col>14</xdr:col>
      <xdr:colOff>421341</xdr:colOff>
      <xdr:row>11</xdr:row>
      <xdr:rowOff>44824</xdr:rowOff>
    </xdr:from>
    <xdr:to>
      <xdr:col>17</xdr:col>
      <xdr:colOff>510988</xdr:colOff>
      <xdr:row>13</xdr:row>
      <xdr:rowOff>53788</xdr:rowOff>
    </xdr:to>
    <xdr:sp macro="" textlink="">
      <xdr:nvSpPr>
        <xdr:cNvPr id="60" name="TextBox 59">
          <a:extLst>
            <a:ext uri="{FF2B5EF4-FFF2-40B4-BE49-F238E27FC236}">
              <a16:creationId xmlns:a16="http://schemas.microsoft.com/office/drawing/2014/main" id="{8556529F-D2F8-8B55-AF17-8788785F2EE0}"/>
            </a:ext>
          </a:extLst>
        </xdr:cNvPr>
        <xdr:cNvSpPr txBox="1"/>
      </xdr:nvSpPr>
      <xdr:spPr>
        <a:xfrm>
          <a:off x="8955741" y="2017059"/>
          <a:ext cx="1918447"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Job</a:t>
          </a:r>
          <a:r>
            <a:rPr lang="en-US" sz="1400" baseline="0"/>
            <a:t> Level %</a:t>
          </a:r>
          <a:endParaRPr lang="en-US" sz="1400"/>
        </a:p>
      </xdr:txBody>
    </xdr:sp>
    <xdr:clientData/>
  </xdr:twoCellAnchor>
  <xdr:twoCellAnchor>
    <xdr:from>
      <xdr:col>2</xdr:col>
      <xdr:colOff>237900</xdr:colOff>
      <xdr:row>25</xdr:row>
      <xdr:rowOff>35859</xdr:rowOff>
    </xdr:from>
    <xdr:to>
      <xdr:col>6</xdr:col>
      <xdr:colOff>179294</xdr:colOff>
      <xdr:row>33</xdr:row>
      <xdr:rowOff>98612</xdr:rowOff>
    </xdr:to>
    <xdr:graphicFrame macro="">
      <xdr:nvGraphicFramePr>
        <xdr:cNvPr id="61" name="Chart 60">
          <a:extLst>
            <a:ext uri="{FF2B5EF4-FFF2-40B4-BE49-F238E27FC236}">
              <a16:creationId xmlns:a16="http://schemas.microsoft.com/office/drawing/2014/main" id="{EC87CF2D-642A-4068-B72D-0D3EB42128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xdr:col>
      <xdr:colOff>125505</xdr:colOff>
      <xdr:row>23</xdr:row>
      <xdr:rowOff>53788</xdr:rowOff>
    </xdr:from>
    <xdr:to>
      <xdr:col>5</xdr:col>
      <xdr:colOff>493058</xdr:colOff>
      <xdr:row>25</xdr:row>
      <xdr:rowOff>17929</xdr:rowOff>
    </xdr:to>
    <xdr:sp macro="" textlink="">
      <xdr:nvSpPr>
        <xdr:cNvPr id="62" name="TextBox 61">
          <a:extLst>
            <a:ext uri="{FF2B5EF4-FFF2-40B4-BE49-F238E27FC236}">
              <a16:creationId xmlns:a16="http://schemas.microsoft.com/office/drawing/2014/main" id="{4BFD4A31-2152-6B15-9D2A-CB4D26FD21AF}"/>
            </a:ext>
          </a:extLst>
        </xdr:cNvPr>
        <xdr:cNvSpPr txBox="1"/>
      </xdr:nvSpPr>
      <xdr:spPr>
        <a:xfrm>
          <a:off x="1954305" y="4177553"/>
          <a:ext cx="1586753"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Dept by HC</a:t>
          </a:r>
          <a:r>
            <a:rPr lang="en-US" sz="1400" baseline="0"/>
            <a:t> %</a:t>
          </a:r>
          <a:endParaRPr lang="en-US" sz="1400"/>
        </a:p>
      </xdr:txBody>
    </xdr:sp>
    <xdr:clientData/>
  </xdr:twoCellAnchor>
  <xdr:twoCellAnchor>
    <xdr:from>
      <xdr:col>6</xdr:col>
      <xdr:colOff>336960</xdr:colOff>
      <xdr:row>25</xdr:row>
      <xdr:rowOff>53787</xdr:rowOff>
    </xdr:from>
    <xdr:to>
      <xdr:col>10</xdr:col>
      <xdr:colOff>340659</xdr:colOff>
      <xdr:row>33</xdr:row>
      <xdr:rowOff>80681</xdr:rowOff>
    </xdr:to>
    <mc:AlternateContent xmlns:mc="http://schemas.openxmlformats.org/markup-compatibility/2006">
      <mc:Choice xmlns:cx2="http://schemas.microsoft.com/office/drawing/2015/10/21/chartex" Requires="cx2">
        <xdr:graphicFrame macro="">
          <xdr:nvGraphicFramePr>
            <xdr:cNvPr id="63" name="Chart 62">
              <a:extLst>
                <a:ext uri="{FF2B5EF4-FFF2-40B4-BE49-F238E27FC236}">
                  <a16:creationId xmlns:a16="http://schemas.microsoft.com/office/drawing/2014/main" id="{B71E965D-C3EA-412A-A4B9-1971294E24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3994560" y="4625787"/>
              <a:ext cx="2442099" cy="148993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322729</xdr:colOff>
      <xdr:row>23</xdr:row>
      <xdr:rowOff>125506</xdr:rowOff>
    </xdr:from>
    <xdr:to>
      <xdr:col>9</xdr:col>
      <xdr:colOff>546846</xdr:colOff>
      <xdr:row>24</xdr:row>
      <xdr:rowOff>152400</xdr:rowOff>
    </xdr:to>
    <xdr:sp macro="" textlink="">
      <xdr:nvSpPr>
        <xdr:cNvPr id="64" name="TextBox 63">
          <a:extLst>
            <a:ext uri="{FF2B5EF4-FFF2-40B4-BE49-F238E27FC236}">
              <a16:creationId xmlns:a16="http://schemas.microsoft.com/office/drawing/2014/main" id="{0F1BC2A3-928D-D61E-7413-F4D5E3EFBB96}"/>
            </a:ext>
          </a:extLst>
        </xdr:cNvPr>
        <xdr:cNvSpPr txBox="1"/>
      </xdr:nvSpPr>
      <xdr:spPr>
        <a:xfrm>
          <a:off x="4589929" y="4249271"/>
          <a:ext cx="1443317" cy="206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HC Reporting</a:t>
          </a:r>
        </a:p>
      </xdr:txBody>
    </xdr:sp>
    <xdr:clientData/>
  </xdr:twoCellAnchor>
  <xdr:twoCellAnchor>
    <xdr:from>
      <xdr:col>10</xdr:col>
      <xdr:colOff>466166</xdr:colOff>
      <xdr:row>25</xdr:row>
      <xdr:rowOff>152399</xdr:rowOff>
    </xdr:from>
    <xdr:to>
      <xdr:col>12</xdr:col>
      <xdr:colOff>457200</xdr:colOff>
      <xdr:row>33</xdr:row>
      <xdr:rowOff>179293</xdr:rowOff>
    </xdr:to>
    <xdr:graphicFrame macro="">
      <xdr:nvGraphicFramePr>
        <xdr:cNvPr id="65" name="Chart 64">
          <a:extLst>
            <a:ext uri="{FF2B5EF4-FFF2-40B4-BE49-F238E27FC236}">
              <a16:creationId xmlns:a16="http://schemas.microsoft.com/office/drawing/2014/main" id="{048FB754-7356-471E-86A8-2D2DC15BC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546847</xdr:colOff>
      <xdr:row>24</xdr:row>
      <xdr:rowOff>26894</xdr:rowOff>
    </xdr:from>
    <xdr:to>
      <xdr:col>14</xdr:col>
      <xdr:colOff>152400</xdr:colOff>
      <xdr:row>25</xdr:row>
      <xdr:rowOff>143435</xdr:rowOff>
    </xdr:to>
    <xdr:sp macro="" textlink="">
      <xdr:nvSpPr>
        <xdr:cNvPr id="66" name="TextBox 65">
          <a:extLst>
            <a:ext uri="{FF2B5EF4-FFF2-40B4-BE49-F238E27FC236}">
              <a16:creationId xmlns:a16="http://schemas.microsoft.com/office/drawing/2014/main" id="{61910D6C-A0D0-1C58-C411-9DC6EC1F0CE7}"/>
            </a:ext>
          </a:extLst>
        </xdr:cNvPr>
        <xdr:cNvSpPr txBox="1"/>
      </xdr:nvSpPr>
      <xdr:spPr>
        <a:xfrm>
          <a:off x="6642847" y="4329953"/>
          <a:ext cx="2043953" cy="295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Emp Type</a:t>
          </a:r>
        </a:p>
      </xdr:txBody>
    </xdr:sp>
    <xdr:clientData/>
  </xdr:twoCellAnchor>
  <xdr:twoCellAnchor editAs="oneCell">
    <xdr:from>
      <xdr:col>12</xdr:col>
      <xdr:colOff>233083</xdr:colOff>
      <xdr:row>29</xdr:row>
      <xdr:rowOff>80683</xdr:rowOff>
    </xdr:from>
    <xdr:to>
      <xdr:col>13</xdr:col>
      <xdr:colOff>242048</xdr:colOff>
      <xdr:row>32</xdr:row>
      <xdr:rowOff>62753</xdr:rowOff>
    </xdr:to>
    <xdr:pic>
      <xdr:nvPicPr>
        <xdr:cNvPr id="70" name="Graphic 69" descr="Male profile with solid fill">
          <a:extLst>
            <a:ext uri="{FF2B5EF4-FFF2-40B4-BE49-F238E27FC236}">
              <a16:creationId xmlns:a16="http://schemas.microsoft.com/office/drawing/2014/main" id="{99D88C2C-C920-3DC3-6412-8133457A279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7548283" y="5280212"/>
          <a:ext cx="618565" cy="519953"/>
        </a:xfrm>
        <a:prstGeom prst="rect">
          <a:avLst/>
        </a:prstGeom>
      </xdr:spPr>
    </xdr:pic>
    <xdr:clientData/>
  </xdr:twoCellAnchor>
  <xdr:twoCellAnchor editAs="oneCell">
    <xdr:from>
      <xdr:col>12</xdr:col>
      <xdr:colOff>242047</xdr:colOff>
      <xdr:row>25</xdr:row>
      <xdr:rowOff>125506</xdr:rowOff>
    </xdr:from>
    <xdr:to>
      <xdr:col>13</xdr:col>
      <xdr:colOff>251012</xdr:colOff>
      <xdr:row>28</xdr:row>
      <xdr:rowOff>107577</xdr:rowOff>
    </xdr:to>
    <xdr:pic>
      <xdr:nvPicPr>
        <xdr:cNvPr id="72" name="Graphic 71" descr="Male profile with solid fill">
          <a:extLst>
            <a:ext uri="{FF2B5EF4-FFF2-40B4-BE49-F238E27FC236}">
              <a16:creationId xmlns:a16="http://schemas.microsoft.com/office/drawing/2014/main" id="{FB853AE9-D361-4A15-AE54-5267718A095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7557247" y="4607859"/>
          <a:ext cx="618565" cy="519953"/>
        </a:xfrm>
        <a:prstGeom prst="rect">
          <a:avLst/>
        </a:prstGeom>
      </xdr:spPr>
    </xdr:pic>
    <xdr:clientData/>
  </xdr:twoCellAnchor>
  <xdr:twoCellAnchor>
    <xdr:from>
      <xdr:col>12</xdr:col>
      <xdr:colOff>600635</xdr:colOff>
      <xdr:row>27</xdr:row>
      <xdr:rowOff>161365</xdr:rowOff>
    </xdr:from>
    <xdr:to>
      <xdr:col>14</xdr:col>
      <xdr:colOff>295835</xdr:colOff>
      <xdr:row>29</xdr:row>
      <xdr:rowOff>98613</xdr:rowOff>
    </xdr:to>
    <xdr:sp macro="" textlink="">
      <xdr:nvSpPr>
        <xdr:cNvPr id="74" name="TextBox 73">
          <a:extLst>
            <a:ext uri="{FF2B5EF4-FFF2-40B4-BE49-F238E27FC236}">
              <a16:creationId xmlns:a16="http://schemas.microsoft.com/office/drawing/2014/main" id="{0DCCB500-655D-E092-16BC-7E189E757FCD}"/>
            </a:ext>
          </a:extLst>
        </xdr:cNvPr>
        <xdr:cNvSpPr txBox="1"/>
      </xdr:nvSpPr>
      <xdr:spPr>
        <a:xfrm>
          <a:off x="7915835" y="5002306"/>
          <a:ext cx="914400" cy="295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Permanent</a:t>
          </a:r>
        </a:p>
      </xdr:txBody>
    </xdr:sp>
    <xdr:clientData/>
  </xdr:twoCellAnchor>
  <xdr:twoCellAnchor>
    <xdr:from>
      <xdr:col>13</xdr:col>
      <xdr:colOff>17929</xdr:colOff>
      <xdr:row>32</xdr:row>
      <xdr:rowOff>80682</xdr:rowOff>
    </xdr:from>
    <xdr:to>
      <xdr:col>14</xdr:col>
      <xdr:colOff>197224</xdr:colOff>
      <xdr:row>33</xdr:row>
      <xdr:rowOff>98612</xdr:rowOff>
    </xdr:to>
    <xdr:sp macro="" textlink="">
      <xdr:nvSpPr>
        <xdr:cNvPr id="75" name="TextBox 74">
          <a:extLst>
            <a:ext uri="{FF2B5EF4-FFF2-40B4-BE49-F238E27FC236}">
              <a16:creationId xmlns:a16="http://schemas.microsoft.com/office/drawing/2014/main" id="{5A46A579-47D3-2DDF-2527-C7A623217EE7}"/>
            </a:ext>
          </a:extLst>
        </xdr:cNvPr>
        <xdr:cNvSpPr txBox="1"/>
      </xdr:nvSpPr>
      <xdr:spPr>
        <a:xfrm>
          <a:off x="7942729" y="5818094"/>
          <a:ext cx="788895" cy="19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Contract</a:t>
          </a:r>
        </a:p>
      </xdr:txBody>
    </xdr:sp>
    <xdr:clientData/>
  </xdr:twoCellAnchor>
  <xdr:twoCellAnchor>
    <xdr:from>
      <xdr:col>13</xdr:col>
      <xdr:colOff>233082</xdr:colOff>
      <xdr:row>26</xdr:row>
      <xdr:rowOff>71718</xdr:rowOff>
    </xdr:from>
    <xdr:to>
      <xdr:col>14</xdr:col>
      <xdr:colOff>152400</xdr:colOff>
      <xdr:row>28</xdr:row>
      <xdr:rowOff>35859</xdr:rowOff>
    </xdr:to>
    <xdr:sp macro="" textlink="Pivot!AA16">
      <xdr:nvSpPr>
        <xdr:cNvPr id="76" name="TextBox 75">
          <a:extLst>
            <a:ext uri="{FF2B5EF4-FFF2-40B4-BE49-F238E27FC236}">
              <a16:creationId xmlns:a16="http://schemas.microsoft.com/office/drawing/2014/main" id="{9F398F2D-3762-5D3A-A449-5D55FEBA1A3F}"/>
            </a:ext>
          </a:extLst>
        </xdr:cNvPr>
        <xdr:cNvSpPr txBox="1"/>
      </xdr:nvSpPr>
      <xdr:spPr>
        <a:xfrm>
          <a:off x="8157882" y="4733365"/>
          <a:ext cx="528918"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4B619B-3393-4673-A4C7-567A66195DAC}" type="TxLink">
            <a:rPr lang="en-US" sz="1100" b="0" i="0" u="none" strike="noStrike">
              <a:solidFill>
                <a:srgbClr val="000000"/>
              </a:solidFill>
              <a:latin typeface="Aptos Narrow"/>
            </a:rPr>
            <a:pPr/>
            <a:t>105</a:t>
          </a:fld>
          <a:endParaRPr lang="en-US" sz="1100"/>
        </a:p>
      </xdr:txBody>
    </xdr:sp>
    <xdr:clientData/>
  </xdr:twoCellAnchor>
  <xdr:twoCellAnchor>
    <xdr:from>
      <xdr:col>13</xdr:col>
      <xdr:colOff>161365</xdr:colOff>
      <xdr:row>30</xdr:row>
      <xdr:rowOff>152400</xdr:rowOff>
    </xdr:from>
    <xdr:to>
      <xdr:col>14</xdr:col>
      <xdr:colOff>268941</xdr:colOff>
      <xdr:row>32</xdr:row>
      <xdr:rowOff>89647</xdr:rowOff>
    </xdr:to>
    <xdr:sp macro="" textlink="Pivot!AA15">
      <xdr:nvSpPr>
        <xdr:cNvPr id="77" name="TextBox 76">
          <a:extLst>
            <a:ext uri="{FF2B5EF4-FFF2-40B4-BE49-F238E27FC236}">
              <a16:creationId xmlns:a16="http://schemas.microsoft.com/office/drawing/2014/main" id="{639526FD-A43A-8AEE-343C-BF34E89C9207}"/>
            </a:ext>
          </a:extLst>
        </xdr:cNvPr>
        <xdr:cNvSpPr txBox="1"/>
      </xdr:nvSpPr>
      <xdr:spPr>
        <a:xfrm>
          <a:off x="8086165" y="5531224"/>
          <a:ext cx="717176" cy="295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CF0B9C-BC87-4CB8-9E5B-EC74DE6FC435}" type="TxLink">
            <a:rPr lang="en-US" sz="1100" b="0" i="0" u="none" strike="noStrike">
              <a:solidFill>
                <a:srgbClr val="000000"/>
              </a:solidFill>
              <a:latin typeface="Aptos Narrow"/>
            </a:rPr>
            <a:pPr/>
            <a:t>13</a:t>
          </a:fld>
          <a:endParaRPr lang="en-US" sz="1100"/>
        </a:p>
      </xdr:txBody>
    </xdr:sp>
    <xdr:clientData/>
  </xdr:twoCellAnchor>
  <xdr:twoCellAnchor>
    <xdr:from>
      <xdr:col>14</xdr:col>
      <xdr:colOff>286871</xdr:colOff>
      <xdr:row>24</xdr:row>
      <xdr:rowOff>152399</xdr:rowOff>
    </xdr:from>
    <xdr:to>
      <xdr:col>20</xdr:col>
      <xdr:colOff>17929</xdr:colOff>
      <xdr:row>33</xdr:row>
      <xdr:rowOff>134469</xdr:rowOff>
    </xdr:to>
    <xdr:graphicFrame macro="">
      <xdr:nvGraphicFramePr>
        <xdr:cNvPr id="78" name="Chart 77">
          <a:extLst>
            <a:ext uri="{FF2B5EF4-FFF2-40B4-BE49-F238E27FC236}">
              <a16:creationId xmlns:a16="http://schemas.microsoft.com/office/drawing/2014/main" id="{10847DA7-2C67-46D7-A00B-4708604123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15</xdr:col>
      <xdr:colOff>224117</xdr:colOff>
      <xdr:row>23</xdr:row>
      <xdr:rowOff>80683</xdr:rowOff>
    </xdr:from>
    <xdr:to>
      <xdr:col>18</xdr:col>
      <xdr:colOff>493058</xdr:colOff>
      <xdr:row>25</xdr:row>
      <xdr:rowOff>80683</xdr:rowOff>
    </xdr:to>
    <xdr:sp macro="" textlink="">
      <xdr:nvSpPr>
        <xdr:cNvPr id="79" name="TextBox 78">
          <a:extLst>
            <a:ext uri="{FF2B5EF4-FFF2-40B4-BE49-F238E27FC236}">
              <a16:creationId xmlns:a16="http://schemas.microsoft.com/office/drawing/2014/main" id="{3BF01670-55C4-57A9-85D6-B2099488063F}"/>
            </a:ext>
          </a:extLst>
        </xdr:cNvPr>
        <xdr:cNvSpPr txBox="1"/>
      </xdr:nvSpPr>
      <xdr:spPr>
        <a:xfrm>
          <a:off x="9368117" y="4204448"/>
          <a:ext cx="2097741" cy="358588"/>
        </a:xfrm>
        <a:prstGeom prst="rect">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a:solidFill>
                <a:schemeClr val="tx1">
                  <a:lumMod val="95000"/>
                  <a:lumOff val="5000"/>
                </a:schemeClr>
              </a:solidFill>
              <a:latin typeface="+mn-lt"/>
              <a:ea typeface="+mn-ea"/>
              <a:cs typeface="+mn-cs"/>
            </a:rPr>
            <a:t>Stability</a:t>
          </a:r>
        </a:p>
      </xdr:txBody>
    </xdr:sp>
    <xdr:clientData/>
  </xdr:twoCellAnchor>
  <xdr:twoCellAnchor editAs="oneCell">
    <xdr:from>
      <xdr:col>0</xdr:col>
      <xdr:colOff>125506</xdr:colOff>
      <xdr:row>5</xdr:row>
      <xdr:rowOff>107576</xdr:rowOff>
    </xdr:from>
    <xdr:to>
      <xdr:col>2</xdr:col>
      <xdr:colOff>143435</xdr:colOff>
      <xdr:row>20</xdr:row>
      <xdr:rowOff>53228</xdr:rowOff>
    </xdr:to>
    <mc:AlternateContent xmlns:mc="http://schemas.openxmlformats.org/markup-compatibility/2006" xmlns:a14="http://schemas.microsoft.com/office/drawing/2010/main">
      <mc:Choice Requires="a14">
        <xdr:graphicFrame macro="">
          <xdr:nvGraphicFramePr>
            <xdr:cNvPr id="5" name="Department">
              <a:extLst>
                <a:ext uri="{FF2B5EF4-FFF2-40B4-BE49-F238E27FC236}">
                  <a16:creationId xmlns:a16="http://schemas.microsoft.com/office/drawing/2014/main" id="{6B3C0B70-C1C8-4941-8D7E-B4D91B2EFB0D}"/>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5506" y="1004047"/>
              <a:ext cx="1237129" cy="26350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159871</xdr:colOff>
      <xdr:row>19</xdr:row>
      <xdr:rowOff>134472</xdr:rowOff>
    </xdr:from>
    <xdr:to>
      <xdr:col>2</xdr:col>
      <xdr:colOff>132976</xdr:colOff>
      <xdr:row>33</xdr:row>
      <xdr:rowOff>1</xdr:rowOff>
    </xdr:to>
    <mc:AlternateContent xmlns:mc="http://schemas.openxmlformats.org/markup-compatibility/2006" xmlns:a14="http://schemas.microsoft.com/office/drawing/2010/main">
      <mc:Choice Requires="a14">
        <xdr:graphicFrame macro="">
          <xdr:nvGraphicFramePr>
            <xdr:cNvPr id="23" name="Reporting Manager">
              <a:extLst>
                <a:ext uri="{FF2B5EF4-FFF2-40B4-BE49-F238E27FC236}">
                  <a16:creationId xmlns:a16="http://schemas.microsoft.com/office/drawing/2014/main" id="{33273B00-A6D3-41CF-94F4-2465139548AC}"/>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159871" y="3673539"/>
              <a:ext cx="1192305" cy="247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586193</xdr:colOff>
      <xdr:row>1</xdr:row>
      <xdr:rowOff>105087</xdr:rowOff>
    </xdr:from>
    <xdr:to>
      <xdr:col>5</xdr:col>
      <xdr:colOff>48310</xdr:colOff>
      <xdr:row>4</xdr:row>
      <xdr:rowOff>87158</xdr:rowOff>
    </xdr:to>
    <xdr:pic macro="[0]!Refresh_All">
      <xdr:nvPicPr>
        <xdr:cNvPr id="52" name="Graphic 51" descr="Arrow circle with solid fill">
          <a:extLst>
            <a:ext uri="{FF2B5EF4-FFF2-40B4-BE49-F238E27FC236}">
              <a16:creationId xmlns:a16="http://schemas.microsoft.com/office/drawing/2014/main" id="{B9FAB5BC-D62C-4B58-A633-732116BFA22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414993" y="291354"/>
          <a:ext cx="681317" cy="540871"/>
        </a:xfrm>
        <a:prstGeom prst="rect">
          <a:avLst/>
        </a:prstGeom>
      </xdr:spPr>
    </xdr:pic>
    <xdr:clientData/>
  </xdr:twoCellAnchor>
  <xdr:twoCellAnchor>
    <xdr:from>
      <xdr:col>17</xdr:col>
      <xdr:colOff>545353</xdr:colOff>
      <xdr:row>19</xdr:row>
      <xdr:rowOff>152401</xdr:rowOff>
    </xdr:from>
    <xdr:to>
      <xdr:col>19</xdr:col>
      <xdr:colOff>222624</xdr:colOff>
      <xdr:row>21</xdr:row>
      <xdr:rowOff>44825</xdr:rowOff>
    </xdr:to>
    <xdr:sp macro="" textlink="">
      <xdr:nvSpPr>
        <xdr:cNvPr id="71" name="TextBox 70">
          <a:extLst>
            <a:ext uri="{FF2B5EF4-FFF2-40B4-BE49-F238E27FC236}">
              <a16:creationId xmlns:a16="http://schemas.microsoft.com/office/drawing/2014/main" id="{D147742B-171E-04F0-0D12-753D5D1C737B}"/>
            </a:ext>
          </a:extLst>
        </xdr:cNvPr>
        <xdr:cNvSpPr txBox="1"/>
      </xdr:nvSpPr>
      <xdr:spPr>
        <a:xfrm>
          <a:off x="10908553" y="3691468"/>
          <a:ext cx="896471" cy="264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a:p>
      </xdr:txBody>
    </xdr:sp>
    <xdr:clientData/>
  </xdr:twoCellAnchor>
  <xdr:twoCellAnchor>
    <xdr:from>
      <xdr:col>14</xdr:col>
      <xdr:colOff>446741</xdr:colOff>
      <xdr:row>11</xdr:row>
      <xdr:rowOff>44824</xdr:rowOff>
    </xdr:from>
    <xdr:to>
      <xdr:col>17</xdr:col>
      <xdr:colOff>536388</xdr:colOff>
      <xdr:row>13</xdr:row>
      <xdr:rowOff>53788</xdr:rowOff>
    </xdr:to>
    <xdr:sp macro="" textlink="">
      <xdr:nvSpPr>
        <xdr:cNvPr id="73" name="TextBox 72">
          <a:extLst>
            <a:ext uri="{FF2B5EF4-FFF2-40B4-BE49-F238E27FC236}">
              <a16:creationId xmlns:a16="http://schemas.microsoft.com/office/drawing/2014/main" id="{0F70ACBF-4281-7934-1491-DD29C765633B}"/>
            </a:ext>
          </a:extLst>
        </xdr:cNvPr>
        <xdr:cNvSpPr txBox="1"/>
      </xdr:nvSpPr>
      <xdr:spPr>
        <a:xfrm>
          <a:off x="8981141" y="2093757"/>
          <a:ext cx="1918447" cy="381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endParaRPr lang="en-US"/>
        </a:p>
      </xdr:txBody>
    </xdr:sp>
    <xdr:clientData/>
  </xdr:twoCellAnchor>
  <xdr:twoCellAnchor>
    <xdr:from>
      <xdr:col>17</xdr:col>
      <xdr:colOff>499535</xdr:colOff>
      <xdr:row>1</xdr:row>
      <xdr:rowOff>67733</xdr:rowOff>
    </xdr:from>
    <xdr:to>
      <xdr:col>18</xdr:col>
      <xdr:colOff>508000</xdr:colOff>
      <xdr:row>4</xdr:row>
      <xdr:rowOff>76198</xdr:rowOff>
    </xdr:to>
    <xdr:sp macro="" textlink="">
      <xdr:nvSpPr>
        <xdr:cNvPr id="30" name="Rectangle: Rounded Corners 29">
          <a:hlinkClick xmlns:r="http://schemas.openxmlformats.org/officeDocument/2006/relationships" r:id="rId28"/>
          <a:extLst>
            <a:ext uri="{FF2B5EF4-FFF2-40B4-BE49-F238E27FC236}">
              <a16:creationId xmlns:a16="http://schemas.microsoft.com/office/drawing/2014/main" id="{D375CC92-9D31-8755-8735-4123A89CDE4F}"/>
            </a:ext>
          </a:extLst>
        </xdr:cNvPr>
        <xdr:cNvSpPr/>
      </xdr:nvSpPr>
      <xdr:spPr>
        <a:xfrm>
          <a:off x="10862735" y="254000"/>
          <a:ext cx="618065" cy="567265"/>
        </a:xfrm>
        <a:prstGeom prst="roundRect">
          <a:avLst/>
        </a:prstGeom>
        <a:no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solidFill>
            </a:rPr>
            <a:t>Dark</a:t>
          </a:r>
        </a:p>
        <a:p>
          <a:pPr algn="ctr"/>
          <a:r>
            <a:rPr lang="en-US" sz="1200" b="1">
              <a:solidFill>
                <a:schemeClr val="bg2"/>
              </a:solidFill>
            </a:rPr>
            <a:t> Mood</a:t>
          </a:r>
        </a:p>
      </xdr:txBody>
    </xdr:sp>
    <xdr:clientData/>
  </xdr:twoCellAnchor>
  <xdr:twoCellAnchor editAs="oneCell">
    <xdr:from>
      <xdr:col>19</xdr:col>
      <xdr:colOff>76200</xdr:colOff>
      <xdr:row>1</xdr:row>
      <xdr:rowOff>25400</xdr:rowOff>
    </xdr:from>
    <xdr:to>
      <xdr:col>20</xdr:col>
      <xdr:colOff>76202</xdr:colOff>
      <xdr:row>4</xdr:row>
      <xdr:rowOff>76200</xdr:rowOff>
    </xdr:to>
    <xdr:pic>
      <xdr:nvPicPr>
        <xdr:cNvPr id="57" name="Graphic 56" descr="Man with solid fill">
          <a:extLst>
            <a:ext uri="{FF2B5EF4-FFF2-40B4-BE49-F238E27FC236}">
              <a16:creationId xmlns:a16="http://schemas.microsoft.com/office/drawing/2014/main" id="{65EC6DC2-3E1B-4D85-B4C8-E1E28F71856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658600" y="211667"/>
          <a:ext cx="609602" cy="6096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0.5484</cdr:x>
      <cdr:y>0.08213</cdr:y>
    </cdr:from>
    <cdr:to>
      <cdr:x>0.83737</cdr:x>
      <cdr:y>0.37439</cdr:y>
    </cdr:to>
    <cdr:pic>
      <cdr:nvPicPr>
        <cdr:cNvPr id="3" name="Graphic 2" descr="Man with solid fill">
          <a:extLst xmlns:a="http://schemas.openxmlformats.org/drawingml/2006/main">
            <a:ext uri="{FF2B5EF4-FFF2-40B4-BE49-F238E27FC236}">
              <a16:creationId xmlns:a16="http://schemas.microsoft.com/office/drawing/2014/main" id="{BE50737F-4915-FA1E-2DB4-DF0472499B9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617438" y="152400"/>
          <a:ext cx="852297" cy="542345"/>
        </a:xfrm>
        <a:prstGeom xmlns:a="http://schemas.openxmlformats.org/drawingml/2006/main" prst="rect">
          <a:avLst/>
        </a:prstGeom>
      </cdr:spPr>
    </cdr:pic>
  </cdr:relSizeAnchor>
  <cdr:relSizeAnchor xmlns:cdr="http://schemas.openxmlformats.org/drawingml/2006/chartDrawing">
    <cdr:from>
      <cdr:x>0.7717</cdr:x>
      <cdr:y>0.82537</cdr:y>
    </cdr:from>
    <cdr:to>
      <cdr:x>0.99035</cdr:x>
      <cdr:y>0.94179</cdr:y>
    </cdr:to>
    <cdr:sp macro="" textlink="">
      <cdr:nvSpPr>
        <cdr:cNvPr id="4" name="TextBox 3">
          <a:extLst xmlns:a="http://schemas.openxmlformats.org/drawingml/2006/main">
            <a:ext uri="{FF2B5EF4-FFF2-40B4-BE49-F238E27FC236}">
              <a16:creationId xmlns:a16="http://schemas.microsoft.com/office/drawing/2014/main" id="{B30901B6-3D8C-63A7-2286-9552FB7464E1}"/>
            </a:ext>
          </a:extLst>
        </cdr:cNvPr>
        <cdr:cNvSpPr txBox="1"/>
      </cdr:nvSpPr>
      <cdr:spPr>
        <a:xfrm xmlns:a="http://schemas.openxmlformats.org/drawingml/2006/main">
          <a:off x="2151530" y="1779607"/>
          <a:ext cx="609600" cy="2510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kern="1200"/>
            <a:t>Female</a:t>
          </a:r>
        </a:p>
        <a:p xmlns:a="http://schemas.openxmlformats.org/drawingml/2006/main">
          <a:endParaRPr lang="en-US" sz="900" kern="1200"/>
        </a:p>
      </cdr:txBody>
    </cdr:sp>
  </cdr:relSizeAnchor>
  <cdr:relSizeAnchor xmlns:cdr="http://schemas.openxmlformats.org/drawingml/2006/chartDrawing">
    <cdr:from>
      <cdr:x>0.86817</cdr:x>
      <cdr:y>0.12271</cdr:y>
    </cdr:from>
    <cdr:to>
      <cdr:x>0.97106</cdr:x>
      <cdr:y>0.27655</cdr:y>
    </cdr:to>
    <cdr:sp macro="" textlink="">
      <cdr:nvSpPr>
        <cdr:cNvPr id="5" name="TextBox 4">
          <a:extLst xmlns:a="http://schemas.openxmlformats.org/drawingml/2006/main">
            <a:ext uri="{FF2B5EF4-FFF2-40B4-BE49-F238E27FC236}">
              <a16:creationId xmlns:a16="http://schemas.microsoft.com/office/drawing/2014/main" id="{C1DA5E5E-9413-BF89-6D3A-2EFBD1F21D27}"/>
            </a:ext>
          </a:extLst>
        </cdr:cNvPr>
        <cdr:cNvSpPr txBox="1"/>
      </cdr:nvSpPr>
      <cdr:spPr>
        <a:xfrm xmlns:a="http://schemas.openxmlformats.org/drawingml/2006/main">
          <a:off x="2420471" y="264572"/>
          <a:ext cx="286870" cy="33169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0.79939</cdr:x>
      <cdr:y>0.63935</cdr:y>
    </cdr:from>
    <cdr:to>
      <cdr:x>0.93921</cdr:x>
      <cdr:y>0.77656</cdr:y>
    </cdr:to>
    <cdr:sp macro="" textlink="Pivot!$L$15">
      <cdr:nvSpPr>
        <cdr:cNvPr id="7" name="Rectangle 6">
          <a:extLst xmlns:a="http://schemas.openxmlformats.org/drawingml/2006/main">
            <a:ext uri="{FF2B5EF4-FFF2-40B4-BE49-F238E27FC236}">
              <a16:creationId xmlns:a16="http://schemas.microsoft.com/office/drawing/2014/main" id="{807A8E4E-F5C1-69E5-0E3A-0EBACC7483D8}"/>
            </a:ext>
          </a:extLst>
        </cdr:cNvPr>
        <cdr:cNvSpPr/>
      </cdr:nvSpPr>
      <cdr:spPr>
        <a:xfrm xmlns:a="http://schemas.openxmlformats.org/drawingml/2006/main">
          <a:off x="2357718" y="1094733"/>
          <a:ext cx="412377" cy="234934"/>
        </a:xfrm>
        <a:prstGeom xmlns:a="http://schemas.openxmlformats.org/drawingml/2006/main" prst="rect">
          <a:avLst/>
        </a:prstGeom>
        <a:solidFill xmlns:a="http://schemas.openxmlformats.org/drawingml/2006/main">
          <a:srgbClr val="FF00FF"/>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6EDF951F-E8B7-4016-84FF-E139F2802986}" type="TxLink">
            <a:rPr lang="en-US" sz="1100" b="0" i="0" u="none" strike="noStrike" kern="1200">
              <a:solidFill>
                <a:srgbClr val="000000"/>
              </a:solidFill>
              <a:latin typeface="Aptos Narrow"/>
            </a:rPr>
            <a:pPr/>
            <a:t>45</a:t>
          </a:fld>
          <a:endParaRPr lang="en-US" kern="1200"/>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8468</xdr:rowOff>
    </xdr:from>
    <xdr:to>
      <xdr:col>27</xdr:col>
      <xdr:colOff>149678</xdr:colOff>
      <xdr:row>48</xdr:row>
      <xdr:rowOff>135467</xdr:rowOff>
    </xdr:to>
    <xdr:sp macro="[0]!ShowAll" textlink="">
      <xdr:nvSpPr>
        <xdr:cNvPr id="2" name="Rectangle 1">
          <a:extLst>
            <a:ext uri="{FF2B5EF4-FFF2-40B4-BE49-F238E27FC236}">
              <a16:creationId xmlns:a16="http://schemas.microsoft.com/office/drawing/2014/main" id="{5E86DF38-8B09-4928-9ED7-17DF5786A7D9}"/>
            </a:ext>
          </a:extLst>
        </xdr:cNvPr>
        <xdr:cNvSpPr/>
      </xdr:nvSpPr>
      <xdr:spPr>
        <a:xfrm>
          <a:off x="0" y="8468"/>
          <a:ext cx="16608878" cy="9067799"/>
        </a:xfrm>
        <a:prstGeom prst="rect">
          <a:avLst/>
        </a:prstGeom>
        <a:gradFill flip="none" rotWithShape="1">
          <a:gsLst>
            <a:gs pos="100000">
              <a:srgbClr val="FF00FF">
                <a:alpha val="99000"/>
              </a:srgbClr>
            </a:gs>
            <a:gs pos="0">
              <a:srgbClr val="00B0F0"/>
            </a:gs>
            <a:gs pos="88000">
              <a:schemeClr val="bg2">
                <a:lumMod val="10000"/>
              </a:schemeClr>
            </a:gs>
            <a:gs pos="28000">
              <a:schemeClr val="tx1">
                <a:lumMod val="95000"/>
                <a:lumOff val="5000"/>
              </a:schemeClr>
            </a:gs>
          </a:gsLst>
          <a:path path="circle">
            <a:fillToRect r="100000" b="100000"/>
          </a:path>
          <a:tileRect l="-100000" t="-100000"/>
        </a:gradFill>
        <a:ln>
          <a:gradFill>
            <a:gsLst>
              <a:gs pos="0">
                <a:srgbClr val="FF00FF"/>
              </a:gs>
              <a:gs pos="68000">
                <a:schemeClr val="accent5">
                  <a:lumMod val="60000"/>
                  <a:lumOff val="40000"/>
                </a:schemeClr>
              </a:gs>
              <a:gs pos="92000">
                <a:schemeClr val="accent1">
                  <a:lumMod val="45000"/>
                  <a:lumOff val="55000"/>
                  <a:alpha val="8000"/>
                </a:schemeClr>
              </a:gs>
              <a:gs pos="52000">
                <a:schemeClr val="accent5">
                  <a:lumMod val="40000"/>
                  <a:lumOff val="60000"/>
                </a:schemeClr>
              </a:gs>
              <a:gs pos="41000">
                <a:schemeClr val="accent1">
                  <a:lumMod val="30000"/>
                  <a:lumOff val="70000"/>
                </a:schemeClr>
              </a:gs>
            </a:gsLst>
            <a:lin ang="5400000" scaled="1"/>
          </a:gradFill>
        </a:ln>
        <a:effectLst>
          <a:glow rad="228600">
            <a:srgbClr val="FF00FF">
              <a:alpha val="40000"/>
            </a:srgbClr>
          </a:glow>
          <a:outerShdw blurRad="50800" dist="38100" dir="2700000" algn="tl" rotWithShape="0">
            <a:prstClr val="black">
              <a:alpha val="40000"/>
            </a:prstClr>
          </a:outerShdw>
        </a:effectLst>
        <a:scene3d>
          <a:camera prst="orthographicFront"/>
          <a:lightRig rig="threePt" dir="t"/>
        </a:scene3d>
        <a:sp3d extrusionH="190500" contourW="57150" prstMaterial="dkEdge">
          <a:bevelT w="44450"/>
          <a:bevelB w="146050" h="133350"/>
          <a:contourClr>
            <a:srgbClr val="00B0F0"/>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45720</xdr:colOff>
      <xdr:row>0</xdr:row>
      <xdr:rowOff>160020</xdr:rowOff>
    </xdr:from>
    <xdr:to>
      <xdr:col>22</xdr:col>
      <xdr:colOff>541020</xdr:colOff>
      <xdr:row>6</xdr:row>
      <xdr:rowOff>7620</xdr:rowOff>
    </xdr:to>
    <xdr:sp macro="" textlink="">
      <xdr:nvSpPr>
        <xdr:cNvPr id="9" name="Rectangle 8">
          <a:extLst>
            <a:ext uri="{FF2B5EF4-FFF2-40B4-BE49-F238E27FC236}">
              <a16:creationId xmlns:a16="http://schemas.microsoft.com/office/drawing/2014/main" id="{270D8758-6228-42EB-8CBF-094806807DD8}"/>
            </a:ext>
          </a:extLst>
        </xdr:cNvPr>
        <xdr:cNvSpPr/>
      </xdr:nvSpPr>
      <xdr:spPr>
        <a:xfrm>
          <a:off x="1874520" y="160020"/>
          <a:ext cx="12077700" cy="944880"/>
        </a:xfrm>
        <a:prstGeom prst="rect">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169408</xdr:colOff>
      <xdr:row>1</xdr:row>
      <xdr:rowOff>76175</xdr:rowOff>
    </xdr:from>
    <xdr:to>
      <xdr:col>25</xdr:col>
      <xdr:colOff>304876</xdr:colOff>
      <xdr:row>41</xdr:row>
      <xdr:rowOff>114301</xdr:rowOff>
    </xdr:to>
    <xdr:sp macro="" textlink="">
      <xdr:nvSpPr>
        <xdr:cNvPr id="14" name="Rectangle: Rounded Corners 13">
          <a:extLst>
            <a:ext uri="{FF2B5EF4-FFF2-40B4-BE49-F238E27FC236}">
              <a16:creationId xmlns:a16="http://schemas.microsoft.com/office/drawing/2014/main" id="{4C61BBE3-F9B1-4B95-9BE6-9C4808BFE135}"/>
            </a:ext>
          </a:extLst>
        </xdr:cNvPr>
        <xdr:cNvSpPr/>
      </xdr:nvSpPr>
      <xdr:spPr>
        <a:xfrm>
          <a:off x="169408" y="257150"/>
          <a:ext cx="15375468" cy="7277126"/>
        </a:xfrm>
        <a:prstGeom prst="roundRect">
          <a:avLst>
            <a:gd name="adj" fmla="val 2721"/>
          </a:avLst>
        </a:prstGeom>
        <a:noFill/>
        <a:ln w="12700">
          <a:gradFill>
            <a:gsLst>
              <a:gs pos="0">
                <a:schemeClr val="bg1"/>
              </a:gs>
              <a:gs pos="74000">
                <a:srgbClr val="511652"/>
              </a:gs>
              <a:gs pos="43000">
                <a:srgbClr val="C73BCA"/>
              </a:gs>
            </a:gsLst>
            <a:lin ang="2700000" scaled="0"/>
          </a:gradFill>
        </a:ln>
        <a:effectLst>
          <a:outerShdw blurRad="266700" dist="114300" dir="16800000" algn="br" rotWithShape="0">
            <a:srgbClr val="FA78F7">
              <a:alpha val="5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solidFill>
              <a:schemeClr val="bg1"/>
            </a:solidFill>
          </a:endParaRPr>
        </a:p>
      </xdr:txBody>
    </xdr:sp>
    <xdr:clientData/>
  </xdr:twoCellAnchor>
  <xdr:twoCellAnchor>
    <xdr:from>
      <xdr:col>3</xdr:col>
      <xdr:colOff>140757</xdr:colOff>
      <xdr:row>2</xdr:row>
      <xdr:rowOff>131232</xdr:rowOff>
    </xdr:from>
    <xdr:to>
      <xdr:col>25</xdr:col>
      <xdr:colOff>81490</xdr:colOff>
      <xdr:row>7</xdr:row>
      <xdr:rowOff>34334</xdr:rowOff>
    </xdr:to>
    <xdr:sp macro="" textlink="">
      <xdr:nvSpPr>
        <xdr:cNvPr id="19" name="Rectangle: Rounded Corners 18">
          <a:extLst>
            <a:ext uri="{FF2B5EF4-FFF2-40B4-BE49-F238E27FC236}">
              <a16:creationId xmlns:a16="http://schemas.microsoft.com/office/drawing/2014/main" id="{66121C85-A10C-4A27-B3A1-F306BE31E9B9}"/>
            </a:ext>
          </a:extLst>
        </xdr:cNvPr>
        <xdr:cNvSpPr/>
      </xdr:nvSpPr>
      <xdr:spPr>
        <a:xfrm>
          <a:off x="1969557" y="493182"/>
          <a:ext cx="13351933" cy="807977"/>
        </a:xfrm>
        <a:prstGeom prst="roundRect">
          <a:avLst>
            <a:gd name="adj" fmla="val 9300"/>
          </a:avLst>
        </a:prstGeom>
        <a:noFill/>
        <a:ln w="9525">
          <a:gradFill flip="none" rotWithShape="1">
            <a:gsLst>
              <a:gs pos="75000">
                <a:srgbClr val="764BE1">
                  <a:alpha val="25000"/>
                </a:srgbClr>
              </a:gs>
              <a:gs pos="0">
                <a:schemeClr val="accent5">
                  <a:lumMod val="20000"/>
                  <a:lumOff val="80000"/>
                </a:schemeClr>
              </a:gs>
              <a:gs pos="44000">
                <a:srgbClr val="764BE1">
                  <a:alpha val="25000"/>
                </a:srgbClr>
              </a:gs>
              <a:gs pos="22000">
                <a:srgbClr val="9742AB"/>
              </a:gs>
              <a:gs pos="100000">
                <a:srgbClr val="764BE1">
                  <a:alpha val="50000"/>
                </a:srgbClr>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solidFill>
              <a:schemeClr val="bg1"/>
            </a:solidFill>
          </a:endParaRPr>
        </a:p>
      </xdr:txBody>
    </xdr:sp>
    <xdr:clientData/>
  </xdr:twoCellAnchor>
  <xdr:twoCellAnchor>
    <xdr:from>
      <xdr:col>0</xdr:col>
      <xdr:colOff>350622</xdr:colOff>
      <xdr:row>0</xdr:row>
      <xdr:rowOff>-13659958</xdr:rowOff>
    </xdr:from>
    <xdr:to>
      <xdr:col>2</xdr:col>
      <xdr:colOff>522768</xdr:colOff>
      <xdr:row>0</xdr:row>
      <xdr:rowOff>-11930684</xdr:rowOff>
    </xdr:to>
    <xdr:grpSp>
      <xdr:nvGrpSpPr>
        <xdr:cNvPr id="20" name="Group 19">
          <a:extLst>
            <a:ext uri="{FF2B5EF4-FFF2-40B4-BE49-F238E27FC236}">
              <a16:creationId xmlns:a16="http://schemas.microsoft.com/office/drawing/2014/main" id="{3265102B-09D9-445F-BB5F-29D4A5F0F02A}"/>
            </a:ext>
          </a:extLst>
        </xdr:cNvPr>
        <xdr:cNvGrpSpPr/>
      </xdr:nvGrpSpPr>
      <xdr:grpSpPr>
        <a:xfrm>
          <a:off x="350622" y="-13659958"/>
          <a:ext cx="1391346" cy="1729274"/>
          <a:chOff x="1558345" y="6081555"/>
          <a:chExt cx="2629169" cy="1729274"/>
        </a:xfrm>
      </xdr:grpSpPr>
      <xdr:sp macro="" textlink="">
        <xdr:nvSpPr>
          <xdr:cNvPr id="21" name="Rectangle: Rounded Corners 20">
            <a:extLst>
              <a:ext uri="{FF2B5EF4-FFF2-40B4-BE49-F238E27FC236}">
                <a16:creationId xmlns:a16="http://schemas.microsoft.com/office/drawing/2014/main" id="{78759FC7-E4DD-4F64-4AEA-D58C7A4FA29D}"/>
              </a:ext>
            </a:extLst>
          </xdr:cNvPr>
          <xdr:cNvSpPr/>
        </xdr:nvSpPr>
        <xdr:spPr>
          <a:xfrm>
            <a:off x="1600207" y="6081555"/>
            <a:ext cx="2587307" cy="1729274"/>
          </a:xfrm>
          <a:prstGeom prst="roundRect">
            <a:avLst>
              <a:gd name="adj" fmla="val 6522"/>
            </a:avLst>
          </a:prstGeom>
          <a:gradFill flip="none" rotWithShape="1">
            <a:gsLst>
              <a:gs pos="60000">
                <a:srgbClr val="0C061C"/>
              </a:gs>
              <a:gs pos="100000">
                <a:srgbClr val="130B2B"/>
              </a:gs>
            </a:gsLst>
            <a:path path="circle">
              <a:fillToRect l="50000" t="130000" r="50000" b="-30000"/>
            </a:path>
            <a:tileRect/>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xnSp macro="">
        <xdr:nvCxnSpPr>
          <xdr:cNvPr id="22" name="Straight Connector 21">
            <a:extLst>
              <a:ext uri="{FF2B5EF4-FFF2-40B4-BE49-F238E27FC236}">
                <a16:creationId xmlns:a16="http://schemas.microsoft.com/office/drawing/2014/main" id="{6BF51A87-58DC-4C81-6F2A-F1A422A9E229}"/>
              </a:ext>
            </a:extLst>
          </xdr:cNvPr>
          <xdr:cNvCxnSpPr/>
        </xdr:nvCxnSpPr>
        <xdr:spPr>
          <a:xfrm>
            <a:off x="1558345" y="6508171"/>
            <a:ext cx="2247900" cy="0"/>
          </a:xfrm>
          <a:prstGeom prst="line">
            <a:avLst/>
          </a:prstGeom>
          <a:ln w="15875">
            <a:gradFill>
              <a:gsLst>
                <a:gs pos="0">
                  <a:srgbClr val="0C061C">
                    <a:alpha val="0"/>
                  </a:srgbClr>
                </a:gs>
                <a:gs pos="50000">
                  <a:srgbClr val="A339A7"/>
                </a:gs>
                <a:gs pos="100000">
                  <a:srgbClr val="0C061C">
                    <a:alpha val="0"/>
                  </a:srgbClr>
                </a:gs>
              </a:gsLst>
              <a:lin ang="0" scaled="0"/>
            </a:gra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0</xdr:col>
      <xdr:colOff>380999</xdr:colOff>
      <xdr:row>2</xdr:row>
      <xdr:rowOff>101600</xdr:rowOff>
    </xdr:from>
    <xdr:to>
      <xdr:col>2</xdr:col>
      <xdr:colOff>549348</xdr:colOff>
      <xdr:row>6</xdr:row>
      <xdr:rowOff>159488</xdr:rowOff>
    </xdr:to>
    <xdr:sp macro="" textlink="">
      <xdr:nvSpPr>
        <xdr:cNvPr id="24" name="Rectangle: Rounded Corners 23">
          <a:extLst>
            <a:ext uri="{FF2B5EF4-FFF2-40B4-BE49-F238E27FC236}">
              <a16:creationId xmlns:a16="http://schemas.microsoft.com/office/drawing/2014/main" id="{7C6F7FAD-0106-4759-93D3-E2EB74B0D836}"/>
            </a:ext>
          </a:extLst>
        </xdr:cNvPr>
        <xdr:cNvSpPr/>
      </xdr:nvSpPr>
      <xdr:spPr>
        <a:xfrm>
          <a:off x="380999" y="473740"/>
          <a:ext cx="1391093" cy="802167"/>
        </a:xfrm>
        <a:prstGeom prst="roundRect">
          <a:avLst>
            <a:gd name="adj" fmla="val 9300"/>
          </a:avLst>
        </a:prstGeom>
        <a:gradFill flip="none" rotWithShape="1">
          <a:gsLst>
            <a:gs pos="100000">
              <a:srgbClr val="130B2B"/>
            </a:gs>
            <a:gs pos="80000">
              <a:srgbClr val="080614"/>
            </a:gs>
            <a:gs pos="0">
              <a:srgbClr val="00B0F0"/>
            </a:gs>
          </a:gsLst>
          <a:path path="circle">
            <a:fillToRect r="100000" b="100000"/>
          </a:path>
          <a:tileRect l="-100000" t="-100000"/>
        </a:gradFill>
        <a:ln w="9525">
          <a:gradFill flip="none" rotWithShape="1">
            <a:gsLst>
              <a:gs pos="75000">
                <a:srgbClr val="764BE1">
                  <a:alpha val="25000"/>
                </a:srgbClr>
              </a:gs>
              <a:gs pos="0">
                <a:schemeClr val="accent5">
                  <a:lumMod val="20000"/>
                  <a:lumOff val="80000"/>
                </a:schemeClr>
              </a:gs>
              <a:gs pos="44000">
                <a:srgbClr val="764BE1">
                  <a:alpha val="25000"/>
                </a:srgbClr>
              </a:gs>
              <a:gs pos="22000">
                <a:srgbClr val="9742AB"/>
              </a:gs>
              <a:gs pos="100000">
                <a:srgbClr val="764BE1">
                  <a:alpha val="50000"/>
                </a:srgbClr>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editAs="oneCell">
    <xdr:from>
      <xdr:col>3</xdr:col>
      <xdr:colOff>193674</xdr:colOff>
      <xdr:row>3</xdr:row>
      <xdr:rowOff>33866</xdr:rowOff>
    </xdr:from>
    <xdr:to>
      <xdr:col>4</xdr:col>
      <xdr:colOff>193676</xdr:colOff>
      <xdr:row>6</xdr:row>
      <xdr:rowOff>105586</xdr:rowOff>
    </xdr:to>
    <xdr:pic>
      <xdr:nvPicPr>
        <xdr:cNvPr id="26" name="Graphic 25" descr="Man with solid fill">
          <a:extLst>
            <a:ext uri="{FF2B5EF4-FFF2-40B4-BE49-F238E27FC236}">
              <a16:creationId xmlns:a16="http://schemas.microsoft.com/office/drawing/2014/main" id="{722FD74B-549B-4BB0-8974-9CBBC9254B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22474" y="576791"/>
          <a:ext cx="609602" cy="614645"/>
        </a:xfrm>
        <a:prstGeom prst="rect">
          <a:avLst/>
        </a:prstGeom>
      </xdr:spPr>
    </xdr:pic>
    <xdr:clientData/>
  </xdr:twoCellAnchor>
  <xdr:twoCellAnchor>
    <xdr:from>
      <xdr:col>3</xdr:col>
      <xdr:colOff>113020</xdr:colOff>
      <xdr:row>7</xdr:row>
      <xdr:rowOff>150236</xdr:rowOff>
    </xdr:from>
    <xdr:to>
      <xdr:col>7</xdr:col>
      <xdr:colOff>104554</xdr:colOff>
      <xdr:row>11</xdr:row>
      <xdr:rowOff>125032</xdr:rowOff>
    </xdr:to>
    <xdr:sp macro="" textlink="">
      <xdr:nvSpPr>
        <xdr:cNvPr id="30" name="Rectangle: Rounded Corners 29">
          <a:extLst>
            <a:ext uri="{FF2B5EF4-FFF2-40B4-BE49-F238E27FC236}">
              <a16:creationId xmlns:a16="http://schemas.microsoft.com/office/drawing/2014/main" id="{C681DAD3-E935-4B0D-954F-483C4F3C3ABB}"/>
            </a:ext>
          </a:extLst>
        </xdr:cNvPr>
        <xdr:cNvSpPr/>
      </xdr:nvSpPr>
      <xdr:spPr>
        <a:xfrm>
          <a:off x="1947136" y="1452724"/>
          <a:ext cx="2437023" cy="719075"/>
        </a:xfrm>
        <a:prstGeom prst="roundRect">
          <a:avLst>
            <a:gd name="adj" fmla="val 5034"/>
          </a:avLst>
        </a:prstGeom>
        <a:gradFill flip="none" rotWithShape="1">
          <a:gsLst>
            <a:gs pos="63000">
              <a:srgbClr val="080614"/>
            </a:gs>
            <a:gs pos="0">
              <a:srgbClr val="140C2E"/>
            </a:gs>
          </a:gsLst>
          <a:path path="circle">
            <a:fillToRect r="100000" b="100000"/>
          </a:path>
          <a:tileRect l="-100000" t="-100000"/>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16</xdr:col>
      <xdr:colOff>335045</xdr:colOff>
      <xdr:row>7</xdr:row>
      <xdr:rowOff>162195</xdr:rowOff>
    </xdr:from>
    <xdr:to>
      <xdr:col>20</xdr:col>
      <xdr:colOff>394315</xdr:colOff>
      <xdr:row>11</xdr:row>
      <xdr:rowOff>119862</xdr:rowOff>
    </xdr:to>
    <xdr:sp macro="" textlink="">
      <xdr:nvSpPr>
        <xdr:cNvPr id="38" name="Rectangle: Rounded Corners 37">
          <a:extLst>
            <a:ext uri="{FF2B5EF4-FFF2-40B4-BE49-F238E27FC236}">
              <a16:creationId xmlns:a16="http://schemas.microsoft.com/office/drawing/2014/main" id="{39EAA20F-3F5B-4E8B-AA45-F63E8B0CAA04}"/>
            </a:ext>
          </a:extLst>
        </xdr:cNvPr>
        <xdr:cNvSpPr/>
      </xdr:nvSpPr>
      <xdr:spPr>
        <a:xfrm>
          <a:off x="10088645" y="1429020"/>
          <a:ext cx="2497670" cy="681567"/>
        </a:xfrm>
        <a:prstGeom prst="roundRect">
          <a:avLst>
            <a:gd name="adj" fmla="val 5034"/>
          </a:avLst>
        </a:prstGeom>
        <a:gradFill flip="none" rotWithShape="1">
          <a:gsLst>
            <a:gs pos="63000">
              <a:srgbClr val="080614"/>
            </a:gs>
            <a:gs pos="0">
              <a:srgbClr val="140C2E"/>
            </a:gs>
          </a:gsLst>
          <a:path path="circle">
            <a:fillToRect r="100000" b="100000"/>
          </a:path>
          <a:tileRect l="-100000" t="-100000"/>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12</xdr:col>
      <xdr:colOff>38394</xdr:colOff>
      <xdr:row>7</xdr:row>
      <xdr:rowOff>159093</xdr:rowOff>
    </xdr:from>
    <xdr:to>
      <xdr:col>16</xdr:col>
      <xdr:colOff>46861</xdr:colOff>
      <xdr:row>11</xdr:row>
      <xdr:rowOff>91558</xdr:rowOff>
    </xdr:to>
    <xdr:sp macro="" textlink="">
      <xdr:nvSpPr>
        <xdr:cNvPr id="40" name="Rectangle: Rounded Corners 39">
          <a:extLst>
            <a:ext uri="{FF2B5EF4-FFF2-40B4-BE49-F238E27FC236}">
              <a16:creationId xmlns:a16="http://schemas.microsoft.com/office/drawing/2014/main" id="{F107879D-811F-4EC1-B635-1DCDDEA0EDDB}"/>
            </a:ext>
          </a:extLst>
        </xdr:cNvPr>
        <xdr:cNvSpPr/>
      </xdr:nvSpPr>
      <xdr:spPr>
        <a:xfrm>
          <a:off x="7374859" y="1461581"/>
          <a:ext cx="2453955" cy="676744"/>
        </a:xfrm>
        <a:prstGeom prst="roundRect">
          <a:avLst>
            <a:gd name="adj" fmla="val 5034"/>
          </a:avLst>
        </a:prstGeom>
        <a:gradFill flip="none" rotWithShape="1">
          <a:gsLst>
            <a:gs pos="63000">
              <a:srgbClr val="080614"/>
            </a:gs>
            <a:gs pos="0">
              <a:srgbClr val="140C2E"/>
            </a:gs>
          </a:gsLst>
          <a:path path="circle">
            <a:fillToRect r="100000" b="100000"/>
          </a:path>
          <a:tileRect l="-100000" t="-100000"/>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7</xdr:col>
      <xdr:colOff>390182</xdr:colOff>
      <xdr:row>7</xdr:row>
      <xdr:rowOff>140635</xdr:rowOff>
    </xdr:from>
    <xdr:to>
      <xdr:col>11</xdr:col>
      <xdr:colOff>407114</xdr:colOff>
      <xdr:row>11</xdr:row>
      <xdr:rowOff>89835</xdr:rowOff>
    </xdr:to>
    <xdr:sp macro="" textlink="">
      <xdr:nvSpPr>
        <xdr:cNvPr id="42" name="Rectangle: Rounded Corners 41">
          <a:extLst>
            <a:ext uri="{FF2B5EF4-FFF2-40B4-BE49-F238E27FC236}">
              <a16:creationId xmlns:a16="http://schemas.microsoft.com/office/drawing/2014/main" id="{2042FDB8-631C-40C4-A074-6CD4CD545ACF}"/>
            </a:ext>
          </a:extLst>
        </xdr:cNvPr>
        <xdr:cNvSpPr/>
      </xdr:nvSpPr>
      <xdr:spPr>
        <a:xfrm>
          <a:off x="4657382" y="1407460"/>
          <a:ext cx="2455332" cy="673100"/>
        </a:xfrm>
        <a:prstGeom prst="roundRect">
          <a:avLst>
            <a:gd name="adj" fmla="val 5034"/>
          </a:avLst>
        </a:prstGeom>
        <a:gradFill flip="none" rotWithShape="1">
          <a:gsLst>
            <a:gs pos="63000">
              <a:srgbClr val="080614"/>
            </a:gs>
            <a:gs pos="0">
              <a:srgbClr val="140C2E"/>
            </a:gs>
          </a:gsLst>
          <a:path path="circle">
            <a:fillToRect r="100000" b="100000"/>
          </a:path>
          <a:tileRect l="-100000" t="-100000"/>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4</xdr:col>
      <xdr:colOff>545016</xdr:colOff>
      <xdr:row>8</xdr:row>
      <xdr:rowOff>20479</xdr:rowOff>
    </xdr:from>
    <xdr:to>
      <xdr:col>6</xdr:col>
      <xdr:colOff>337056</xdr:colOff>
      <xdr:row>9</xdr:row>
      <xdr:rowOff>68126</xdr:rowOff>
    </xdr:to>
    <xdr:sp macro="" textlink="">
      <xdr:nvSpPr>
        <xdr:cNvPr id="48" name="TextBox 47">
          <a:extLst>
            <a:ext uri="{FF2B5EF4-FFF2-40B4-BE49-F238E27FC236}">
              <a16:creationId xmlns:a16="http://schemas.microsoft.com/office/drawing/2014/main" id="{FA3DC056-223F-4D6B-9B19-55A06893D37B}"/>
            </a:ext>
          </a:extLst>
        </xdr:cNvPr>
        <xdr:cNvSpPr txBox="1"/>
      </xdr:nvSpPr>
      <xdr:spPr>
        <a:xfrm>
          <a:off x="2983416" y="1510612"/>
          <a:ext cx="1011240" cy="233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bg1"/>
              </a:solidFill>
              <a:effectLst/>
            </a:rPr>
            <a:t>Overall</a:t>
          </a:r>
          <a:r>
            <a:rPr lang="en-US" sz="1400" baseline="0">
              <a:ln>
                <a:noFill/>
              </a:ln>
              <a:solidFill>
                <a:schemeClr val="bg1"/>
              </a:solidFill>
            </a:rPr>
            <a:t> HC</a:t>
          </a:r>
          <a:endParaRPr lang="en-US" sz="1400">
            <a:ln>
              <a:noFill/>
            </a:ln>
            <a:solidFill>
              <a:schemeClr val="bg1"/>
            </a:solidFill>
          </a:endParaRPr>
        </a:p>
      </xdr:txBody>
    </xdr:sp>
    <xdr:clientData/>
  </xdr:twoCellAnchor>
  <xdr:twoCellAnchor>
    <xdr:from>
      <xdr:col>8</xdr:col>
      <xdr:colOff>558404</xdr:colOff>
      <xdr:row>7</xdr:row>
      <xdr:rowOff>116564</xdr:rowOff>
    </xdr:from>
    <xdr:to>
      <xdr:col>11</xdr:col>
      <xdr:colOff>150232</xdr:colOff>
      <xdr:row>9</xdr:row>
      <xdr:rowOff>110067</xdr:rowOff>
    </xdr:to>
    <xdr:sp macro="" textlink="">
      <xdr:nvSpPr>
        <xdr:cNvPr id="50" name="TextBox 49">
          <a:extLst>
            <a:ext uri="{FF2B5EF4-FFF2-40B4-BE49-F238E27FC236}">
              <a16:creationId xmlns:a16="http://schemas.microsoft.com/office/drawing/2014/main" id="{A5343A9C-5BEF-46D3-8D6F-8685C046D6FB}"/>
            </a:ext>
          </a:extLst>
        </xdr:cNvPr>
        <xdr:cNvSpPr txBox="1"/>
      </xdr:nvSpPr>
      <xdr:spPr>
        <a:xfrm>
          <a:off x="5435204" y="1420431"/>
          <a:ext cx="1420628" cy="366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bg1"/>
              </a:solidFill>
              <a:effectLst/>
            </a:rPr>
            <a:t>Active</a:t>
          </a:r>
          <a:r>
            <a:rPr lang="en-US" sz="1400" baseline="0">
              <a:ln>
                <a:noFill/>
              </a:ln>
              <a:solidFill>
                <a:schemeClr val="bg1"/>
              </a:solidFill>
              <a:effectLst/>
            </a:rPr>
            <a:t> HC</a:t>
          </a:r>
          <a:endParaRPr lang="en-US" sz="1400">
            <a:ln>
              <a:noFill/>
            </a:ln>
            <a:solidFill>
              <a:schemeClr val="bg1"/>
            </a:solidFill>
          </a:endParaRPr>
        </a:p>
      </xdr:txBody>
    </xdr:sp>
    <xdr:clientData/>
  </xdr:twoCellAnchor>
  <xdr:twoCellAnchor>
    <xdr:from>
      <xdr:col>13</xdr:col>
      <xdr:colOff>593849</xdr:colOff>
      <xdr:row>7</xdr:row>
      <xdr:rowOff>135860</xdr:rowOff>
    </xdr:from>
    <xdr:to>
      <xdr:col>15</xdr:col>
      <xdr:colOff>385889</xdr:colOff>
      <xdr:row>9</xdr:row>
      <xdr:rowOff>118534</xdr:rowOff>
    </xdr:to>
    <xdr:sp macro="" textlink="">
      <xdr:nvSpPr>
        <xdr:cNvPr id="52" name="TextBox 51">
          <a:extLst>
            <a:ext uri="{FF2B5EF4-FFF2-40B4-BE49-F238E27FC236}">
              <a16:creationId xmlns:a16="http://schemas.microsoft.com/office/drawing/2014/main" id="{C8FC1533-3D67-42BC-BD06-AD8B07205FF9}"/>
            </a:ext>
          </a:extLst>
        </xdr:cNvPr>
        <xdr:cNvSpPr txBox="1"/>
      </xdr:nvSpPr>
      <xdr:spPr>
        <a:xfrm>
          <a:off x="8518649" y="1439727"/>
          <a:ext cx="1011240" cy="355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bg1"/>
              </a:solidFill>
              <a:effectLst/>
            </a:rPr>
            <a:t>Attrition</a:t>
          </a:r>
          <a:endParaRPr lang="en-US" sz="1400">
            <a:ln>
              <a:noFill/>
            </a:ln>
            <a:solidFill>
              <a:schemeClr val="bg1"/>
            </a:solidFill>
          </a:endParaRPr>
        </a:p>
      </xdr:txBody>
    </xdr:sp>
    <xdr:clientData/>
  </xdr:twoCellAnchor>
  <xdr:twoCellAnchor>
    <xdr:from>
      <xdr:col>18</xdr:col>
      <xdr:colOff>16735</xdr:colOff>
      <xdr:row>7</xdr:row>
      <xdr:rowOff>97269</xdr:rowOff>
    </xdr:from>
    <xdr:to>
      <xdr:col>19</xdr:col>
      <xdr:colOff>420147</xdr:colOff>
      <xdr:row>9</xdr:row>
      <xdr:rowOff>101600</xdr:rowOff>
    </xdr:to>
    <xdr:sp macro="" textlink="">
      <xdr:nvSpPr>
        <xdr:cNvPr id="54" name="TextBox 53">
          <a:extLst>
            <a:ext uri="{FF2B5EF4-FFF2-40B4-BE49-F238E27FC236}">
              <a16:creationId xmlns:a16="http://schemas.microsoft.com/office/drawing/2014/main" id="{F630B210-0540-4142-B5B8-455C04CF3C78}"/>
            </a:ext>
          </a:extLst>
        </xdr:cNvPr>
        <xdr:cNvSpPr txBox="1"/>
      </xdr:nvSpPr>
      <xdr:spPr>
        <a:xfrm>
          <a:off x="10989535" y="1401136"/>
          <a:ext cx="1013012" cy="376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bg1"/>
              </a:solidFill>
              <a:effectLst/>
            </a:rPr>
            <a:t>Attrition</a:t>
          </a:r>
          <a:r>
            <a:rPr lang="en-US" sz="1400" baseline="0">
              <a:ln>
                <a:noFill/>
              </a:ln>
              <a:solidFill>
                <a:schemeClr val="bg1"/>
              </a:solidFill>
              <a:effectLst/>
            </a:rPr>
            <a:t> %</a:t>
          </a:r>
          <a:endParaRPr lang="en-US" sz="1400">
            <a:ln>
              <a:noFill/>
            </a:ln>
            <a:solidFill>
              <a:schemeClr val="bg1"/>
            </a:solidFill>
          </a:endParaRPr>
        </a:p>
      </xdr:txBody>
    </xdr:sp>
    <xdr:clientData/>
  </xdr:twoCellAnchor>
  <xdr:twoCellAnchor>
    <xdr:from>
      <xdr:col>21</xdr:col>
      <xdr:colOff>17721</xdr:colOff>
      <xdr:row>7</xdr:row>
      <xdr:rowOff>144721</xdr:rowOff>
    </xdr:from>
    <xdr:to>
      <xdr:col>25</xdr:col>
      <xdr:colOff>26920</xdr:colOff>
      <xdr:row>11</xdr:row>
      <xdr:rowOff>115188</xdr:rowOff>
    </xdr:to>
    <xdr:sp macro="" textlink="">
      <xdr:nvSpPr>
        <xdr:cNvPr id="3" name="Rectangle: Rounded Corners 2">
          <a:extLst>
            <a:ext uri="{FF2B5EF4-FFF2-40B4-BE49-F238E27FC236}">
              <a16:creationId xmlns:a16="http://schemas.microsoft.com/office/drawing/2014/main" id="{5497B669-97CB-4B32-940B-C897FB4034E2}"/>
            </a:ext>
          </a:extLst>
        </xdr:cNvPr>
        <xdr:cNvSpPr/>
      </xdr:nvSpPr>
      <xdr:spPr>
        <a:xfrm>
          <a:off x="12856535" y="1447209"/>
          <a:ext cx="2454687" cy="714746"/>
        </a:xfrm>
        <a:prstGeom prst="roundRect">
          <a:avLst>
            <a:gd name="adj" fmla="val 5034"/>
          </a:avLst>
        </a:prstGeom>
        <a:gradFill flip="none" rotWithShape="1">
          <a:gsLst>
            <a:gs pos="63000">
              <a:srgbClr val="080614"/>
            </a:gs>
            <a:gs pos="0">
              <a:srgbClr val="140C2E"/>
            </a:gs>
          </a:gsLst>
          <a:path path="circle">
            <a:fillToRect r="100000" b="100000"/>
          </a:path>
          <a:tileRect l="-100000" t="-100000"/>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22</xdr:col>
      <xdr:colOff>560374</xdr:colOff>
      <xdr:row>7</xdr:row>
      <xdr:rowOff>167130</xdr:rowOff>
    </xdr:from>
    <xdr:to>
      <xdr:col>24</xdr:col>
      <xdr:colOff>126802</xdr:colOff>
      <xdr:row>9</xdr:row>
      <xdr:rowOff>76200</xdr:rowOff>
    </xdr:to>
    <xdr:sp macro="" textlink="">
      <xdr:nvSpPr>
        <xdr:cNvPr id="8" name="TextBox 7">
          <a:extLst>
            <a:ext uri="{FF2B5EF4-FFF2-40B4-BE49-F238E27FC236}">
              <a16:creationId xmlns:a16="http://schemas.microsoft.com/office/drawing/2014/main" id="{AE074CAB-12E0-BF74-26AD-4AA100184DAF}"/>
            </a:ext>
          </a:extLst>
        </xdr:cNvPr>
        <xdr:cNvSpPr txBox="1"/>
      </xdr:nvSpPr>
      <xdr:spPr>
        <a:xfrm>
          <a:off x="13971574" y="1470997"/>
          <a:ext cx="785628" cy="281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ln>
                <a:noFill/>
              </a:ln>
              <a:solidFill>
                <a:schemeClr val="bg1"/>
              </a:solidFill>
              <a:effectLst/>
              <a:latin typeface="+mn-lt"/>
              <a:ea typeface="+mn-ea"/>
              <a:cs typeface="+mn-cs"/>
            </a:rPr>
            <a:t>Transfer</a:t>
          </a:r>
        </a:p>
      </xdr:txBody>
    </xdr:sp>
    <xdr:clientData/>
  </xdr:twoCellAnchor>
  <xdr:twoCellAnchor editAs="oneCell">
    <xdr:from>
      <xdr:col>3</xdr:col>
      <xdr:colOff>263845</xdr:colOff>
      <xdr:row>8</xdr:row>
      <xdr:rowOff>46075</xdr:rowOff>
    </xdr:from>
    <xdr:to>
      <xdr:col>4</xdr:col>
      <xdr:colOff>348512</xdr:colOff>
      <xdr:row>10</xdr:row>
      <xdr:rowOff>165117</xdr:rowOff>
    </xdr:to>
    <xdr:pic>
      <xdr:nvPicPr>
        <xdr:cNvPr id="13" name="Graphic 12" descr="Group of people with solid fill">
          <a:extLst>
            <a:ext uri="{FF2B5EF4-FFF2-40B4-BE49-F238E27FC236}">
              <a16:creationId xmlns:a16="http://schemas.microsoft.com/office/drawing/2014/main" id="{62849E33-E18A-4BE6-9ADF-C0A34E8035A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97961" y="1534633"/>
          <a:ext cx="696039" cy="491182"/>
        </a:xfrm>
        <a:prstGeom prst="rect">
          <a:avLst/>
        </a:prstGeom>
      </xdr:spPr>
    </xdr:pic>
    <xdr:clientData/>
  </xdr:twoCellAnchor>
  <xdr:twoCellAnchor editAs="oneCell">
    <xdr:from>
      <xdr:col>7</xdr:col>
      <xdr:colOff>518831</xdr:colOff>
      <xdr:row>8</xdr:row>
      <xdr:rowOff>56116</xdr:rowOff>
    </xdr:from>
    <xdr:to>
      <xdr:col>8</xdr:col>
      <xdr:colOff>415458</xdr:colOff>
      <xdr:row>11</xdr:row>
      <xdr:rowOff>27893</xdr:rowOff>
    </xdr:to>
    <xdr:pic>
      <xdr:nvPicPr>
        <xdr:cNvPr id="15" name="Graphic 14" descr="Group of women with solid fill">
          <a:extLst>
            <a:ext uri="{FF2B5EF4-FFF2-40B4-BE49-F238E27FC236}">
              <a16:creationId xmlns:a16="http://schemas.microsoft.com/office/drawing/2014/main" id="{42BD5586-64F5-405D-9F08-35A9DA7D4E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798436" y="1544674"/>
          <a:ext cx="507999" cy="529986"/>
        </a:xfrm>
        <a:prstGeom prst="rect">
          <a:avLst/>
        </a:prstGeom>
      </xdr:spPr>
    </xdr:pic>
    <xdr:clientData/>
  </xdr:twoCellAnchor>
  <xdr:twoCellAnchor editAs="oneCell">
    <xdr:from>
      <xdr:col>12</xdr:col>
      <xdr:colOff>223086</xdr:colOff>
      <xdr:row>7</xdr:row>
      <xdr:rowOff>130544</xdr:rowOff>
    </xdr:from>
    <xdr:to>
      <xdr:col>13</xdr:col>
      <xdr:colOff>312732</xdr:colOff>
      <xdr:row>11</xdr:row>
      <xdr:rowOff>112615</xdr:rowOff>
    </xdr:to>
    <xdr:pic>
      <xdr:nvPicPr>
        <xdr:cNvPr id="16" name="Graphic 15" descr="Users with solid fill">
          <a:extLst>
            <a:ext uri="{FF2B5EF4-FFF2-40B4-BE49-F238E27FC236}">
              <a16:creationId xmlns:a16="http://schemas.microsoft.com/office/drawing/2014/main" id="{4A347B0C-0815-47A4-9488-1BA71EBF231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559551" y="1433032"/>
          <a:ext cx="701018" cy="726350"/>
        </a:xfrm>
        <a:prstGeom prst="rect">
          <a:avLst/>
        </a:prstGeom>
      </xdr:spPr>
    </xdr:pic>
    <xdr:clientData/>
  </xdr:twoCellAnchor>
  <xdr:twoCellAnchor editAs="oneCell">
    <xdr:from>
      <xdr:col>16</xdr:col>
      <xdr:colOff>446368</xdr:colOff>
      <xdr:row>7</xdr:row>
      <xdr:rowOff>172090</xdr:rowOff>
    </xdr:from>
    <xdr:to>
      <xdr:col>17</xdr:col>
      <xdr:colOff>383615</xdr:colOff>
      <xdr:row>11</xdr:row>
      <xdr:rowOff>1139</xdr:rowOff>
    </xdr:to>
    <xdr:pic>
      <xdr:nvPicPr>
        <xdr:cNvPr id="18" name="Graphic 17" descr="Call center with solid fill">
          <a:extLst>
            <a:ext uri="{FF2B5EF4-FFF2-40B4-BE49-F238E27FC236}">
              <a16:creationId xmlns:a16="http://schemas.microsoft.com/office/drawing/2014/main" id="{6EFE5B46-8A28-40AA-A6EC-8E8C75A34599}"/>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228321" y="1474578"/>
          <a:ext cx="548620" cy="567175"/>
        </a:xfrm>
        <a:prstGeom prst="rect">
          <a:avLst/>
        </a:prstGeom>
      </xdr:spPr>
    </xdr:pic>
    <xdr:clientData/>
  </xdr:twoCellAnchor>
  <xdr:twoCellAnchor editAs="oneCell">
    <xdr:from>
      <xdr:col>21</xdr:col>
      <xdr:colOff>89871</xdr:colOff>
      <xdr:row>7</xdr:row>
      <xdr:rowOff>118835</xdr:rowOff>
    </xdr:from>
    <xdr:to>
      <xdr:col>22</xdr:col>
      <xdr:colOff>198728</xdr:colOff>
      <xdr:row>11</xdr:row>
      <xdr:rowOff>4635</xdr:rowOff>
    </xdr:to>
    <xdr:pic>
      <xdr:nvPicPr>
        <xdr:cNvPr id="25" name="Graphic 24" descr="Arrow circle with solid fill">
          <a:extLst>
            <a:ext uri="{FF2B5EF4-FFF2-40B4-BE49-F238E27FC236}">
              <a16:creationId xmlns:a16="http://schemas.microsoft.com/office/drawing/2014/main" id="{70759E02-C3BA-05B3-0595-1F7DB1B11B4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28685" y="1421323"/>
          <a:ext cx="720229" cy="623926"/>
        </a:xfrm>
        <a:prstGeom prst="rect">
          <a:avLst/>
        </a:prstGeom>
      </xdr:spPr>
    </xdr:pic>
    <xdr:clientData/>
  </xdr:twoCellAnchor>
  <xdr:twoCellAnchor>
    <xdr:from>
      <xdr:col>2</xdr:col>
      <xdr:colOff>406401</xdr:colOff>
      <xdr:row>12</xdr:row>
      <xdr:rowOff>152402</xdr:rowOff>
    </xdr:from>
    <xdr:to>
      <xdr:col>10</xdr:col>
      <xdr:colOff>320676</xdr:colOff>
      <xdr:row>26</xdr:row>
      <xdr:rowOff>125944</xdr:rowOff>
    </xdr:to>
    <xdr:grpSp>
      <xdr:nvGrpSpPr>
        <xdr:cNvPr id="28" name="Group 27">
          <a:extLst>
            <a:ext uri="{FF2B5EF4-FFF2-40B4-BE49-F238E27FC236}">
              <a16:creationId xmlns:a16="http://schemas.microsoft.com/office/drawing/2014/main" id="{978D88D7-C1A3-43B4-B67B-E77A900E3C3C}"/>
            </a:ext>
          </a:extLst>
        </xdr:cNvPr>
        <xdr:cNvGrpSpPr/>
      </xdr:nvGrpSpPr>
      <xdr:grpSpPr>
        <a:xfrm>
          <a:off x="1625601" y="3115735"/>
          <a:ext cx="4791075" cy="2581276"/>
          <a:chOff x="1558345" y="4765414"/>
          <a:chExt cx="2869483" cy="1742757"/>
        </a:xfrm>
      </xdr:grpSpPr>
      <xdr:sp macro="" textlink="">
        <xdr:nvSpPr>
          <xdr:cNvPr id="29" name="Rectangle: Rounded Corners 28">
            <a:extLst>
              <a:ext uri="{FF2B5EF4-FFF2-40B4-BE49-F238E27FC236}">
                <a16:creationId xmlns:a16="http://schemas.microsoft.com/office/drawing/2014/main" id="{85665C5B-D83C-FB70-CD60-D305BC37BEB8}"/>
              </a:ext>
            </a:extLst>
          </xdr:cNvPr>
          <xdr:cNvSpPr/>
        </xdr:nvSpPr>
        <xdr:spPr>
          <a:xfrm>
            <a:off x="1737928" y="4765414"/>
            <a:ext cx="2689900" cy="1687300"/>
          </a:xfrm>
          <a:prstGeom prst="roundRect">
            <a:avLst>
              <a:gd name="adj" fmla="val 6522"/>
            </a:avLst>
          </a:prstGeom>
          <a:gradFill flip="none" rotWithShape="1">
            <a:gsLst>
              <a:gs pos="60000">
                <a:srgbClr val="0C061C"/>
              </a:gs>
              <a:gs pos="100000">
                <a:srgbClr val="130B2B"/>
              </a:gs>
            </a:gsLst>
            <a:path path="circle">
              <a:fillToRect l="50000" t="130000" r="50000" b="-30000"/>
            </a:path>
            <a:tileRect/>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solidFill>
                <a:schemeClr val="bg1"/>
              </a:solidFill>
            </a:endParaRPr>
          </a:p>
        </xdr:txBody>
      </xdr:sp>
      <xdr:cxnSp macro="">
        <xdr:nvCxnSpPr>
          <xdr:cNvPr id="31" name="Straight Connector 30">
            <a:extLst>
              <a:ext uri="{FF2B5EF4-FFF2-40B4-BE49-F238E27FC236}">
                <a16:creationId xmlns:a16="http://schemas.microsoft.com/office/drawing/2014/main" id="{33393064-987B-F95B-6328-CA1875F831EC}"/>
              </a:ext>
            </a:extLst>
          </xdr:cNvPr>
          <xdr:cNvCxnSpPr/>
        </xdr:nvCxnSpPr>
        <xdr:spPr>
          <a:xfrm>
            <a:off x="1558345" y="6508171"/>
            <a:ext cx="2247900" cy="0"/>
          </a:xfrm>
          <a:prstGeom prst="line">
            <a:avLst/>
          </a:prstGeom>
          <a:ln w="15875">
            <a:gradFill>
              <a:gsLst>
                <a:gs pos="0">
                  <a:srgbClr val="0C061C">
                    <a:alpha val="0"/>
                  </a:srgbClr>
                </a:gs>
                <a:gs pos="50000">
                  <a:srgbClr val="A339A7"/>
                </a:gs>
                <a:gs pos="100000">
                  <a:srgbClr val="0C061C">
                    <a:alpha val="0"/>
                  </a:srgbClr>
                </a:gs>
              </a:gsLst>
              <a:lin ang="0" scaled="0"/>
            </a:gra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17</xdr:col>
      <xdr:colOff>496358</xdr:colOff>
      <xdr:row>12</xdr:row>
      <xdr:rowOff>126707</xdr:rowOff>
    </xdr:from>
    <xdr:to>
      <xdr:col>25</xdr:col>
      <xdr:colOff>15458</xdr:colOff>
      <xdr:row>25</xdr:row>
      <xdr:rowOff>171449</xdr:rowOff>
    </xdr:to>
    <xdr:sp macro="" textlink="">
      <xdr:nvSpPr>
        <xdr:cNvPr id="32" name="Rectangle: Rounded Corners 31">
          <a:extLst>
            <a:ext uri="{FF2B5EF4-FFF2-40B4-BE49-F238E27FC236}">
              <a16:creationId xmlns:a16="http://schemas.microsoft.com/office/drawing/2014/main" id="{F537D95E-45A4-4BFC-B9C8-4DF7066E3B31}"/>
            </a:ext>
          </a:extLst>
        </xdr:cNvPr>
        <xdr:cNvSpPr/>
      </xdr:nvSpPr>
      <xdr:spPr>
        <a:xfrm>
          <a:off x="10859558" y="2361907"/>
          <a:ext cx="4395900" cy="2466209"/>
        </a:xfrm>
        <a:prstGeom prst="roundRect">
          <a:avLst>
            <a:gd name="adj" fmla="val 5971"/>
          </a:avLst>
        </a:prstGeom>
        <a:gradFill flip="none" rotWithShape="1">
          <a:gsLst>
            <a:gs pos="3000">
              <a:srgbClr val="130B2B"/>
            </a:gs>
            <a:gs pos="51000">
              <a:srgbClr val="080614"/>
            </a:gs>
            <a:gs pos="100000">
              <a:srgbClr val="641D7D"/>
            </a:gs>
          </a:gsLst>
          <a:path path="circle">
            <a:fillToRect r="100000" b="100000"/>
          </a:path>
          <a:tileRect l="-100000" t="-100000"/>
        </a:gradFill>
        <a:ln w="9525">
          <a:gradFill flip="none" rotWithShape="1">
            <a:gsLst>
              <a:gs pos="75000">
                <a:srgbClr val="764BE1">
                  <a:alpha val="25000"/>
                </a:srgbClr>
              </a:gs>
              <a:gs pos="0">
                <a:schemeClr val="accent5">
                  <a:lumMod val="20000"/>
                  <a:lumOff val="80000"/>
                </a:schemeClr>
              </a:gs>
              <a:gs pos="44000">
                <a:srgbClr val="764BE1">
                  <a:alpha val="25000"/>
                </a:srgbClr>
              </a:gs>
              <a:gs pos="22000">
                <a:srgbClr val="9742AB"/>
              </a:gs>
              <a:gs pos="100000">
                <a:srgbClr val="764BE1">
                  <a:alpha val="50000"/>
                </a:srgbClr>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10</xdr:col>
      <xdr:colOff>497471</xdr:colOff>
      <xdr:row>12</xdr:row>
      <xdr:rowOff>174171</xdr:rowOff>
    </xdr:from>
    <xdr:to>
      <xdr:col>17</xdr:col>
      <xdr:colOff>152642</xdr:colOff>
      <xdr:row>26</xdr:row>
      <xdr:rowOff>42727</xdr:rowOff>
    </xdr:to>
    <xdr:sp macro="" textlink="">
      <xdr:nvSpPr>
        <xdr:cNvPr id="33" name="Rectangle: Rounded Corners 32">
          <a:extLst>
            <a:ext uri="{FF2B5EF4-FFF2-40B4-BE49-F238E27FC236}">
              <a16:creationId xmlns:a16="http://schemas.microsoft.com/office/drawing/2014/main" id="{6BEC0ACD-1F81-44A0-9FCD-8F6C1887E373}"/>
            </a:ext>
          </a:extLst>
        </xdr:cNvPr>
        <xdr:cNvSpPr/>
      </xdr:nvSpPr>
      <xdr:spPr>
        <a:xfrm>
          <a:off x="6593471" y="2394857"/>
          <a:ext cx="3922371" cy="2459356"/>
        </a:xfrm>
        <a:prstGeom prst="roundRect">
          <a:avLst>
            <a:gd name="adj" fmla="val 6522"/>
          </a:avLst>
        </a:prstGeom>
        <a:gradFill flip="none" rotWithShape="1">
          <a:gsLst>
            <a:gs pos="60000">
              <a:srgbClr val="0C061C"/>
            </a:gs>
            <a:gs pos="100000">
              <a:srgbClr val="130B2B"/>
            </a:gs>
          </a:gsLst>
          <a:path path="circle">
            <a:fillToRect l="50000" t="130000" r="50000" b="-30000"/>
          </a:path>
          <a:tileRect/>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solidFill>
              <a:schemeClr val="bg1"/>
            </a:solidFill>
          </a:endParaRPr>
        </a:p>
      </xdr:txBody>
    </xdr:sp>
    <xdr:clientData/>
  </xdr:twoCellAnchor>
  <xdr:twoCellAnchor>
    <xdr:from>
      <xdr:col>3</xdr:col>
      <xdr:colOff>159710</xdr:colOff>
      <xdr:row>16</xdr:row>
      <xdr:rowOff>16515</xdr:rowOff>
    </xdr:from>
    <xdr:to>
      <xdr:col>10</xdr:col>
      <xdr:colOff>42333</xdr:colOff>
      <xdr:row>26</xdr:row>
      <xdr:rowOff>38100</xdr:rowOff>
    </xdr:to>
    <xdr:graphicFrame macro="">
      <xdr:nvGraphicFramePr>
        <xdr:cNvPr id="35" name="Chart 34">
          <a:extLst>
            <a:ext uri="{FF2B5EF4-FFF2-40B4-BE49-F238E27FC236}">
              <a16:creationId xmlns:a16="http://schemas.microsoft.com/office/drawing/2014/main" id="{D8C4D84C-A90A-44E6-8A23-5AED749DEC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584200</xdr:colOff>
      <xdr:row>16</xdr:row>
      <xdr:rowOff>8465</xdr:rowOff>
    </xdr:from>
    <xdr:to>
      <xdr:col>16</xdr:col>
      <xdr:colOff>584200</xdr:colOff>
      <xdr:row>25</xdr:row>
      <xdr:rowOff>173620</xdr:rowOff>
    </xdr:to>
    <xdr:graphicFrame macro="">
      <xdr:nvGraphicFramePr>
        <xdr:cNvPr id="36" name="Chart 35">
          <a:extLst>
            <a:ext uri="{FF2B5EF4-FFF2-40B4-BE49-F238E27FC236}">
              <a16:creationId xmlns:a16="http://schemas.microsoft.com/office/drawing/2014/main" id="{526559CE-D455-44D1-ABC3-FC309D1992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496367</xdr:colOff>
      <xdr:row>16</xdr:row>
      <xdr:rowOff>155156</xdr:rowOff>
    </xdr:from>
    <xdr:to>
      <xdr:col>16</xdr:col>
      <xdr:colOff>379433</xdr:colOff>
      <xdr:row>18</xdr:row>
      <xdr:rowOff>67733</xdr:rowOff>
    </xdr:to>
    <xdr:sp macro="" textlink="Pivot!L16">
      <xdr:nvSpPr>
        <xdr:cNvPr id="43" name="Rectangle 42">
          <a:extLst>
            <a:ext uri="{FF2B5EF4-FFF2-40B4-BE49-F238E27FC236}">
              <a16:creationId xmlns:a16="http://schemas.microsoft.com/office/drawing/2014/main" id="{2ADAE2A3-43E7-4234-8265-87D45E185649}"/>
            </a:ext>
          </a:extLst>
        </xdr:cNvPr>
        <xdr:cNvSpPr/>
      </xdr:nvSpPr>
      <xdr:spPr>
        <a:xfrm>
          <a:off x="9657817" y="3040286"/>
          <a:ext cx="493830" cy="273218"/>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FCD84C7-110F-4BDA-A8B0-D9FE9A691388}" type="TxLink">
            <a:rPr lang="en-US" sz="1100" b="0" i="0" u="none" strike="noStrike">
              <a:ln>
                <a:noFill/>
              </a:ln>
              <a:solidFill>
                <a:schemeClr val="bg1"/>
              </a:solidFill>
              <a:latin typeface="Aptos Narrow"/>
            </a:rPr>
            <a:pPr algn="ctr"/>
            <a:t>73</a:t>
          </a:fld>
          <a:endParaRPr lang="en-US" sz="1100">
            <a:ln>
              <a:noFill/>
            </a:ln>
            <a:solidFill>
              <a:schemeClr val="bg1"/>
            </a:solidFill>
          </a:endParaRPr>
        </a:p>
      </xdr:txBody>
    </xdr:sp>
    <xdr:clientData/>
  </xdr:twoCellAnchor>
  <xdr:twoCellAnchor editAs="oneCell">
    <xdr:from>
      <xdr:col>14</xdr:col>
      <xdr:colOff>429166</xdr:colOff>
      <xdr:row>20</xdr:row>
      <xdr:rowOff>95744</xdr:rowOff>
    </xdr:from>
    <xdr:to>
      <xdr:col>15</xdr:col>
      <xdr:colOff>409465</xdr:colOff>
      <xdr:row>23</xdr:row>
      <xdr:rowOff>145029</xdr:rowOff>
    </xdr:to>
    <xdr:pic>
      <xdr:nvPicPr>
        <xdr:cNvPr id="44" name="Graphic 43" descr="Woman with solid fill">
          <a:extLst>
            <a:ext uri="{FF2B5EF4-FFF2-40B4-BE49-F238E27FC236}">
              <a16:creationId xmlns:a16="http://schemas.microsoft.com/office/drawing/2014/main" id="{87893106-CE3D-45BA-9967-BFD31DF8F1C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963566" y="3821077"/>
          <a:ext cx="589899" cy="608085"/>
        </a:xfrm>
        <a:prstGeom prst="rect">
          <a:avLst/>
        </a:prstGeom>
      </xdr:spPr>
    </xdr:pic>
    <xdr:clientData/>
  </xdr:twoCellAnchor>
  <xdr:twoCellAnchor>
    <xdr:from>
      <xdr:col>18</xdr:col>
      <xdr:colOff>59267</xdr:colOff>
      <xdr:row>16</xdr:row>
      <xdr:rowOff>67982</xdr:rowOff>
    </xdr:from>
    <xdr:to>
      <xdr:col>24</xdr:col>
      <xdr:colOff>149077</xdr:colOff>
      <xdr:row>26</xdr:row>
      <xdr:rowOff>7532</xdr:rowOff>
    </xdr:to>
    <xdr:graphicFrame macro="">
      <xdr:nvGraphicFramePr>
        <xdr:cNvPr id="47" name="Chart 46">
          <a:extLst>
            <a:ext uri="{FF2B5EF4-FFF2-40B4-BE49-F238E27FC236}">
              <a16:creationId xmlns:a16="http://schemas.microsoft.com/office/drawing/2014/main" id="{5B6E2E34-14DE-487D-AB8C-413B3F194F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22</xdr:col>
      <xdr:colOff>478189</xdr:colOff>
      <xdr:row>13</xdr:row>
      <xdr:rowOff>161333</xdr:rowOff>
    </xdr:from>
    <xdr:to>
      <xdr:col>24</xdr:col>
      <xdr:colOff>465679</xdr:colOff>
      <xdr:row>15</xdr:row>
      <xdr:rowOff>46980</xdr:rowOff>
    </xdr:to>
    <xdr:sp macro="" textlink="">
      <xdr:nvSpPr>
        <xdr:cNvPr id="49" name="TextBox 48">
          <a:extLst>
            <a:ext uri="{FF2B5EF4-FFF2-40B4-BE49-F238E27FC236}">
              <a16:creationId xmlns:a16="http://schemas.microsoft.com/office/drawing/2014/main" id="{444352E9-257F-4FBC-9C77-8C0F63D9C5D2}"/>
            </a:ext>
          </a:extLst>
        </xdr:cNvPr>
        <xdr:cNvSpPr txBox="1"/>
      </xdr:nvSpPr>
      <xdr:spPr>
        <a:xfrm>
          <a:off x="13889389" y="2582800"/>
          <a:ext cx="1206690" cy="25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Management</a:t>
          </a:r>
        </a:p>
      </xdr:txBody>
    </xdr:sp>
    <xdr:clientData/>
  </xdr:twoCellAnchor>
  <xdr:twoCellAnchor>
    <xdr:from>
      <xdr:col>22</xdr:col>
      <xdr:colOff>572004</xdr:colOff>
      <xdr:row>16</xdr:row>
      <xdr:rowOff>90216</xdr:rowOff>
    </xdr:from>
    <xdr:to>
      <xdr:col>24</xdr:col>
      <xdr:colOff>442954</xdr:colOff>
      <xdr:row>17</xdr:row>
      <xdr:rowOff>153364</xdr:rowOff>
    </xdr:to>
    <xdr:sp macro="" textlink="">
      <xdr:nvSpPr>
        <xdr:cNvPr id="51" name="TextBox 50">
          <a:extLst>
            <a:ext uri="{FF2B5EF4-FFF2-40B4-BE49-F238E27FC236}">
              <a16:creationId xmlns:a16="http://schemas.microsoft.com/office/drawing/2014/main" id="{5069B027-098C-40F1-8515-C54F2172D969}"/>
            </a:ext>
          </a:extLst>
        </xdr:cNvPr>
        <xdr:cNvSpPr txBox="1"/>
      </xdr:nvSpPr>
      <xdr:spPr>
        <a:xfrm>
          <a:off x="13983204" y="3070483"/>
          <a:ext cx="1090150" cy="249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1"/>
              </a:solidFill>
            </a:rPr>
            <a:t>Profetional</a:t>
          </a:r>
        </a:p>
        <a:p>
          <a:endParaRPr lang="en-US" sz="1400">
            <a:solidFill>
              <a:schemeClr val="bg1"/>
            </a:solidFill>
          </a:endParaRPr>
        </a:p>
      </xdr:txBody>
    </xdr:sp>
    <xdr:clientData/>
  </xdr:twoCellAnchor>
  <xdr:twoCellAnchor>
    <xdr:from>
      <xdr:col>23</xdr:col>
      <xdr:colOff>23698</xdr:colOff>
      <xdr:row>19</xdr:row>
      <xdr:rowOff>138827</xdr:rowOff>
    </xdr:from>
    <xdr:to>
      <xdr:col>24</xdr:col>
      <xdr:colOff>407409</xdr:colOff>
      <xdr:row>21</xdr:row>
      <xdr:rowOff>60531</xdr:rowOff>
    </xdr:to>
    <xdr:sp macro="" textlink="">
      <xdr:nvSpPr>
        <xdr:cNvPr id="53" name="TextBox 52">
          <a:extLst>
            <a:ext uri="{FF2B5EF4-FFF2-40B4-BE49-F238E27FC236}">
              <a16:creationId xmlns:a16="http://schemas.microsoft.com/office/drawing/2014/main" id="{BC0D6C5E-3E54-4DE4-952B-186D5C2A7797}"/>
            </a:ext>
          </a:extLst>
        </xdr:cNvPr>
        <xdr:cNvSpPr txBox="1"/>
      </xdr:nvSpPr>
      <xdr:spPr>
        <a:xfrm>
          <a:off x="14044498" y="3677894"/>
          <a:ext cx="993311" cy="294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Trainees</a:t>
          </a:r>
        </a:p>
      </xdr:txBody>
    </xdr:sp>
    <xdr:clientData/>
  </xdr:twoCellAnchor>
  <xdr:twoCellAnchor>
    <xdr:from>
      <xdr:col>23</xdr:col>
      <xdr:colOff>186245</xdr:colOff>
      <xdr:row>15</xdr:row>
      <xdr:rowOff>10623</xdr:rowOff>
    </xdr:from>
    <xdr:to>
      <xdr:col>24</xdr:col>
      <xdr:colOff>256190</xdr:colOff>
      <xdr:row>16</xdr:row>
      <xdr:rowOff>10819</xdr:rowOff>
    </xdr:to>
    <xdr:sp macro="" textlink="Pivot!P16">
      <xdr:nvSpPr>
        <xdr:cNvPr id="55" name="TextBox 54">
          <a:extLst>
            <a:ext uri="{FF2B5EF4-FFF2-40B4-BE49-F238E27FC236}">
              <a16:creationId xmlns:a16="http://schemas.microsoft.com/office/drawing/2014/main" id="{906B426A-5035-4A08-9148-F3FD5D810FC9}"/>
            </a:ext>
          </a:extLst>
        </xdr:cNvPr>
        <xdr:cNvSpPr txBox="1"/>
      </xdr:nvSpPr>
      <xdr:spPr>
        <a:xfrm>
          <a:off x="14207045" y="2804623"/>
          <a:ext cx="679545" cy="186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AB8D1D-9607-469C-BAE6-17122D555A81}" type="TxLink">
            <a:rPr lang="en-US" sz="1400" b="0" i="0" u="none" strike="noStrike">
              <a:solidFill>
                <a:schemeClr val="bg1"/>
              </a:solidFill>
              <a:latin typeface="Aptos Narrow"/>
            </a:rPr>
            <a:pPr algn="ctr"/>
            <a:t>21</a:t>
          </a:fld>
          <a:endParaRPr lang="en-US" sz="1400">
            <a:solidFill>
              <a:schemeClr val="bg1"/>
            </a:solidFill>
          </a:endParaRPr>
        </a:p>
      </xdr:txBody>
    </xdr:sp>
    <xdr:clientData/>
  </xdr:twoCellAnchor>
  <xdr:twoCellAnchor>
    <xdr:from>
      <xdr:col>23</xdr:col>
      <xdr:colOff>247688</xdr:colOff>
      <xdr:row>17</xdr:row>
      <xdr:rowOff>179656</xdr:rowOff>
    </xdr:from>
    <xdr:to>
      <xdr:col>24</xdr:col>
      <xdr:colOff>201092</xdr:colOff>
      <xdr:row>18</xdr:row>
      <xdr:rowOff>161924</xdr:rowOff>
    </xdr:to>
    <xdr:sp macro="" textlink="Pivot!P17">
      <xdr:nvSpPr>
        <xdr:cNvPr id="56" name="TextBox 55">
          <a:extLst>
            <a:ext uri="{FF2B5EF4-FFF2-40B4-BE49-F238E27FC236}">
              <a16:creationId xmlns:a16="http://schemas.microsoft.com/office/drawing/2014/main" id="{BCB315D6-DB0C-44C3-9590-FF9BD7588B8B}"/>
            </a:ext>
          </a:extLst>
        </xdr:cNvPr>
        <xdr:cNvSpPr txBox="1"/>
      </xdr:nvSpPr>
      <xdr:spPr>
        <a:xfrm>
          <a:off x="14268488" y="3346189"/>
          <a:ext cx="563004" cy="168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036E81-F006-41C7-98FE-E1B8F8B4A354}" type="TxLink">
            <a:rPr lang="en-US" sz="1400" b="0" i="0" u="none" strike="noStrike">
              <a:solidFill>
                <a:schemeClr val="bg1"/>
              </a:solidFill>
              <a:latin typeface="Aptos Narrow"/>
            </a:rPr>
            <a:pPr algn="ctr"/>
            <a:t>43</a:t>
          </a:fld>
          <a:endParaRPr lang="en-US" sz="1400">
            <a:solidFill>
              <a:schemeClr val="bg1"/>
            </a:solidFill>
          </a:endParaRPr>
        </a:p>
      </xdr:txBody>
    </xdr:sp>
    <xdr:clientData/>
  </xdr:twoCellAnchor>
  <xdr:twoCellAnchor>
    <xdr:from>
      <xdr:col>23</xdr:col>
      <xdr:colOff>181786</xdr:colOff>
      <xdr:row>20</xdr:row>
      <xdr:rowOff>147493</xdr:rowOff>
    </xdr:from>
    <xdr:to>
      <xdr:col>24</xdr:col>
      <xdr:colOff>305520</xdr:colOff>
      <xdr:row>22</xdr:row>
      <xdr:rowOff>69196</xdr:rowOff>
    </xdr:to>
    <xdr:sp macro="" textlink="Pivot!P18">
      <xdr:nvSpPr>
        <xdr:cNvPr id="57" name="TextBox 56">
          <a:extLst>
            <a:ext uri="{FF2B5EF4-FFF2-40B4-BE49-F238E27FC236}">
              <a16:creationId xmlns:a16="http://schemas.microsoft.com/office/drawing/2014/main" id="{E423334D-B0B1-409A-B171-14BADCCFA223}"/>
            </a:ext>
          </a:extLst>
        </xdr:cNvPr>
        <xdr:cNvSpPr txBox="1"/>
      </xdr:nvSpPr>
      <xdr:spPr>
        <a:xfrm>
          <a:off x="14202586" y="3872826"/>
          <a:ext cx="733334" cy="294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067A3C-8198-480E-A41B-F653D03CFB74}" type="TxLink">
            <a:rPr lang="en-US" sz="1100" b="0" i="0" u="none" strike="noStrike">
              <a:solidFill>
                <a:schemeClr val="bg1"/>
              </a:solidFill>
              <a:latin typeface="Aptos Narrow"/>
            </a:rPr>
            <a:pPr algn="ctr"/>
            <a:t>41</a:t>
          </a:fld>
          <a:endParaRPr lang="en-US" sz="1100">
            <a:solidFill>
              <a:schemeClr val="bg1"/>
            </a:solidFill>
          </a:endParaRPr>
        </a:p>
      </xdr:txBody>
    </xdr:sp>
    <xdr:clientData/>
  </xdr:twoCellAnchor>
  <xdr:twoCellAnchor>
    <xdr:from>
      <xdr:col>23</xdr:col>
      <xdr:colOff>195521</xdr:colOff>
      <xdr:row>23</xdr:row>
      <xdr:rowOff>181035</xdr:rowOff>
    </xdr:from>
    <xdr:to>
      <xdr:col>24</xdr:col>
      <xdr:colOff>355114</xdr:colOff>
      <xdr:row>25</xdr:row>
      <xdr:rowOff>3928</xdr:rowOff>
    </xdr:to>
    <xdr:sp macro="" textlink="Pivot!AR58">
      <xdr:nvSpPr>
        <xdr:cNvPr id="58" name="TextBox 57">
          <a:extLst>
            <a:ext uri="{FF2B5EF4-FFF2-40B4-BE49-F238E27FC236}">
              <a16:creationId xmlns:a16="http://schemas.microsoft.com/office/drawing/2014/main" id="{193FEE2D-199E-4F77-B3F0-D8BF35C7A6B9}"/>
            </a:ext>
          </a:extLst>
        </xdr:cNvPr>
        <xdr:cNvSpPr txBox="1"/>
      </xdr:nvSpPr>
      <xdr:spPr>
        <a:xfrm>
          <a:off x="14216321" y="4465168"/>
          <a:ext cx="769193" cy="195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3BF671-57D8-45F8-BA1E-05A6C61C4325}" type="TxLink">
            <a:rPr lang="en-US" sz="1400" b="0" i="0" u="none" strike="noStrike">
              <a:solidFill>
                <a:schemeClr val="bg1"/>
              </a:solidFill>
              <a:latin typeface="Aptos Narrow"/>
            </a:rPr>
            <a:pPr algn="ctr"/>
            <a:t> </a:t>
          </a:fld>
          <a:endParaRPr lang="en-US" sz="1400">
            <a:solidFill>
              <a:schemeClr val="bg1"/>
            </a:solidFill>
          </a:endParaRPr>
        </a:p>
      </xdr:txBody>
    </xdr:sp>
    <xdr:clientData/>
  </xdr:twoCellAnchor>
  <xdr:twoCellAnchor>
    <xdr:from>
      <xdr:col>23</xdr:col>
      <xdr:colOff>124407</xdr:colOff>
      <xdr:row>22</xdr:row>
      <xdr:rowOff>148731</xdr:rowOff>
    </xdr:from>
    <xdr:to>
      <xdr:col>24</xdr:col>
      <xdr:colOff>409506</xdr:colOff>
      <xdr:row>24</xdr:row>
      <xdr:rowOff>41352</xdr:rowOff>
    </xdr:to>
    <xdr:sp macro="" textlink="">
      <xdr:nvSpPr>
        <xdr:cNvPr id="59" name="TextBox 58">
          <a:extLst>
            <a:ext uri="{FF2B5EF4-FFF2-40B4-BE49-F238E27FC236}">
              <a16:creationId xmlns:a16="http://schemas.microsoft.com/office/drawing/2014/main" id="{C398DDA9-CB94-4B2F-8356-ACA35C20CD94}"/>
            </a:ext>
          </a:extLst>
        </xdr:cNvPr>
        <xdr:cNvSpPr txBox="1"/>
      </xdr:nvSpPr>
      <xdr:spPr>
        <a:xfrm>
          <a:off x="14145207" y="4246598"/>
          <a:ext cx="894699" cy="26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Contract</a:t>
          </a:r>
        </a:p>
      </xdr:txBody>
    </xdr:sp>
    <xdr:clientData/>
  </xdr:twoCellAnchor>
  <xdr:twoCellAnchor>
    <xdr:from>
      <xdr:col>19</xdr:col>
      <xdr:colOff>272903</xdr:colOff>
      <xdr:row>12</xdr:row>
      <xdr:rowOff>181740</xdr:rowOff>
    </xdr:from>
    <xdr:to>
      <xdr:col>22</xdr:col>
      <xdr:colOff>357234</xdr:colOff>
      <xdr:row>15</xdr:row>
      <xdr:rowOff>4831</xdr:rowOff>
    </xdr:to>
    <xdr:sp macro="" textlink="">
      <xdr:nvSpPr>
        <xdr:cNvPr id="60" name="TextBox 59">
          <a:extLst>
            <a:ext uri="{FF2B5EF4-FFF2-40B4-BE49-F238E27FC236}">
              <a16:creationId xmlns:a16="http://schemas.microsoft.com/office/drawing/2014/main" id="{D047F01F-6077-42BC-971B-37E93B0ACD70}"/>
            </a:ext>
          </a:extLst>
        </xdr:cNvPr>
        <xdr:cNvSpPr txBox="1"/>
      </xdr:nvSpPr>
      <xdr:spPr>
        <a:xfrm>
          <a:off x="11855303" y="2416940"/>
          <a:ext cx="1913131" cy="381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Job</a:t>
          </a:r>
          <a:r>
            <a:rPr lang="en-US" sz="1800" baseline="0">
              <a:solidFill>
                <a:schemeClr val="bg1"/>
              </a:solidFill>
            </a:rPr>
            <a:t> Level %</a:t>
          </a:r>
          <a:endParaRPr lang="en-US" sz="1800">
            <a:solidFill>
              <a:schemeClr val="bg1"/>
            </a:solidFill>
          </a:endParaRPr>
        </a:p>
      </xdr:txBody>
    </xdr:sp>
    <xdr:clientData/>
  </xdr:twoCellAnchor>
  <xdr:twoCellAnchor>
    <xdr:from>
      <xdr:col>3</xdr:col>
      <xdr:colOff>76721</xdr:colOff>
      <xdr:row>27</xdr:row>
      <xdr:rowOff>85725</xdr:rowOff>
    </xdr:from>
    <xdr:to>
      <xdr:col>8</xdr:col>
      <xdr:colOff>28575</xdr:colOff>
      <xdr:row>39</xdr:row>
      <xdr:rowOff>180974</xdr:rowOff>
    </xdr:to>
    <xdr:sp macro="" textlink="">
      <xdr:nvSpPr>
        <xdr:cNvPr id="5" name="Rectangle: Rounded Corners 4">
          <a:extLst>
            <a:ext uri="{FF2B5EF4-FFF2-40B4-BE49-F238E27FC236}">
              <a16:creationId xmlns:a16="http://schemas.microsoft.com/office/drawing/2014/main" id="{C56BF524-CEDE-4F48-88D7-22B65FA725C4}"/>
            </a:ext>
          </a:extLst>
        </xdr:cNvPr>
        <xdr:cNvSpPr/>
      </xdr:nvSpPr>
      <xdr:spPr>
        <a:xfrm>
          <a:off x="1905521" y="4972050"/>
          <a:ext cx="2999854" cy="2266949"/>
        </a:xfrm>
        <a:prstGeom prst="roundRect">
          <a:avLst>
            <a:gd name="adj" fmla="val 9763"/>
          </a:avLst>
        </a:prstGeom>
        <a:gradFill flip="none" rotWithShape="1">
          <a:gsLst>
            <a:gs pos="77000">
              <a:srgbClr val="080614"/>
            </a:gs>
            <a:gs pos="0">
              <a:srgbClr val="140C2E"/>
            </a:gs>
          </a:gsLst>
          <a:path path="circle">
            <a:fillToRect t="100000" r="100000"/>
          </a:path>
          <a:tileRect l="-100000" b="-100000"/>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19</xdr:col>
      <xdr:colOff>133349</xdr:colOff>
      <xdr:row>27</xdr:row>
      <xdr:rowOff>38101</xdr:rowOff>
    </xdr:from>
    <xdr:to>
      <xdr:col>25</xdr:col>
      <xdr:colOff>47624</xdr:colOff>
      <xdr:row>40</xdr:row>
      <xdr:rowOff>47626</xdr:rowOff>
    </xdr:to>
    <xdr:sp macro="" textlink="">
      <xdr:nvSpPr>
        <xdr:cNvPr id="7" name="Rectangle: Rounded Corners 6">
          <a:extLst>
            <a:ext uri="{FF2B5EF4-FFF2-40B4-BE49-F238E27FC236}">
              <a16:creationId xmlns:a16="http://schemas.microsoft.com/office/drawing/2014/main" id="{E08DAE18-7411-4602-9DF2-32FE759941C7}"/>
            </a:ext>
          </a:extLst>
        </xdr:cNvPr>
        <xdr:cNvSpPr/>
      </xdr:nvSpPr>
      <xdr:spPr>
        <a:xfrm>
          <a:off x="11715749" y="4924426"/>
          <a:ext cx="3571875" cy="2362200"/>
        </a:xfrm>
        <a:prstGeom prst="roundRect">
          <a:avLst>
            <a:gd name="adj" fmla="val 9300"/>
          </a:avLst>
        </a:prstGeom>
        <a:gradFill flip="none" rotWithShape="1">
          <a:gsLst>
            <a:gs pos="53000">
              <a:srgbClr val="080614"/>
            </a:gs>
            <a:gs pos="77000">
              <a:srgbClr val="5D1A71"/>
            </a:gs>
            <a:gs pos="100000">
              <a:srgbClr val="B22DCD"/>
            </a:gs>
          </a:gsLst>
          <a:path path="circle">
            <a:fillToRect r="100000" b="100000"/>
          </a:path>
          <a:tileRect l="-100000" t="-100000"/>
        </a:gradFill>
        <a:ln w="9525">
          <a:gradFill flip="none" rotWithShape="1">
            <a:gsLst>
              <a:gs pos="75000">
                <a:srgbClr val="764BE1">
                  <a:alpha val="25000"/>
                </a:srgbClr>
              </a:gs>
              <a:gs pos="0">
                <a:schemeClr val="accent5">
                  <a:lumMod val="20000"/>
                  <a:lumOff val="80000"/>
                </a:schemeClr>
              </a:gs>
              <a:gs pos="44000">
                <a:srgbClr val="764BE1">
                  <a:alpha val="25000"/>
                </a:srgbClr>
              </a:gs>
              <a:gs pos="22000">
                <a:srgbClr val="9742AB"/>
              </a:gs>
              <a:gs pos="100000">
                <a:srgbClr val="764BE1">
                  <a:alpha val="50000"/>
                </a:srgbClr>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8</xdr:col>
      <xdr:colOff>241397</xdr:colOff>
      <xdr:row>27</xdr:row>
      <xdr:rowOff>76201</xdr:rowOff>
    </xdr:from>
    <xdr:to>
      <xdr:col>13</xdr:col>
      <xdr:colOff>238124</xdr:colOff>
      <xdr:row>39</xdr:row>
      <xdr:rowOff>161925</xdr:rowOff>
    </xdr:to>
    <xdr:sp macro="" textlink="">
      <xdr:nvSpPr>
        <xdr:cNvPr id="10" name="Rectangle: Rounded Corners 9">
          <a:extLst>
            <a:ext uri="{FF2B5EF4-FFF2-40B4-BE49-F238E27FC236}">
              <a16:creationId xmlns:a16="http://schemas.microsoft.com/office/drawing/2014/main" id="{54AB1DAF-8DAD-4497-919D-823BECA3E8F2}"/>
            </a:ext>
          </a:extLst>
        </xdr:cNvPr>
        <xdr:cNvSpPr/>
      </xdr:nvSpPr>
      <xdr:spPr>
        <a:xfrm>
          <a:off x="5118197" y="4962526"/>
          <a:ext cx="3044727" cy="2257424"/>
        </a:xfrm>
        <a:prstGeom prst="roundRect">
          <a:avLst>
            <a:gd name="adj" fmla="val 9763"/>
          </a:avLst>
        </a:prstGeom>
        <a:gradFill flip="none" rotWithShape="1">
          <a:gsLst>
            <a:gs pos="77000">
              <a:srgbClr val="080614"/>
            </a:gs>
            <a:gs pos="0">
              <a:srgbClr val="140C2E"/>
            </a:gs>
          </a:gsLst>
          <a:path path="circle">
            <a:fillToRect t="100000" r="100000"/>
          </a:path>
          <a:tileRect l="-100000" b="-100000"/>
        </a:gradFill>
        <a:ln w="9525">
          <a:gradFill flip="none" rotWithShape="1">
            <a:gsLst>
              <a:gs pos="44000">
                <a:srgbClr val="764BE1">
                  <a:alpha val="50000"/>
                </a:srgbClr>
              </a:gs>
              <a:gs pos="0">
                <a:srgbClr val="9742AB"/>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13</xdr:col>
      <xdr:colOff>342900</xdr:colOff>
      <xdr:row>27</xdr:row>
      <xdr:rowOff>71549</xdr:rowOff>
    </xdr:from>
    <xdr:to>
      <xdr:col>18</xdr:col>
      <xdr:colOff>561975</xdr:colOff>
      <xdr:row>40</xdr:row>
      <xdr:rowOff>0</xdr:rowOff>
    </xdr:to>
    <xdr:sp macro="" textlink="">
      <xdr:nvSpPr>
        <xdr:cNvPr id="17" name="Rectangle: Rounded Corners 16">
          <a:extLst>
            <a:ext uri="{FF2B5EF4-FFF2-40B4-BE49-F238E27FC236}">
              <a16:creationId xmlns:a16="http://schemas.microsoft.com/office/drawing/2014/main" id="{3AF2FA49-A30F-4C25-828C-DEF02B47CE7A}"/>
            </a:ext>
          </a:extLst>
        </xdr:cNvPr>
        <xdr:cNvSpPr/>
      </xdr:nvSpPr>
      <xdr:spPr>
        <a:xfrm>
          <a:off x="8267700" y="4957874"/>
          <a:ext cx="3267075" cy="2281126"/>
        </a:xfrm>
        <a:prstGeom prst="roundRect">
          <a:avLst>
            <a:gd name="adj" fmla="val 5971"/>
          </a:avLst>
        </a:prstGeom>
        <a:gradFill flip="none" rotWithShape="1">
          <a:gsLst>
            <a:gs pos="1000">
              <a:srgbClr val="130B2B"/>
            </a:gs>
            <a:gs pos="51000">
              <a:srgbClr val="080614"/>
            </a:gs>
            <a:gs pos="100000">
              <a:srgbClr val="641D7D"/>
            </a:gs>
          </a:gsLst>
          <a:lin ang="4800000" scaled="0"/>
          <a:tileRect/>
        </a:gradFill>
        <a:ln w="9525">
          <a:gradFill flip="none" rotWithShape="1">
            <a:gsLst>
              <a:gs pos="75000">
                <a:srgbClr val="764BE1">
                  <a:alpha val="25000"/>
                </a:srgbClr>
              </a:gs>
              <a:gs pos="0">
                <a:schemeClr val="accent5">
                  <a:lumMod val="20000"/>
                  <a:lumOff val="80000"/>
                </a:schemeClr>
              </a:gs>
              <a:gs pos="44000">
                <a:srgbClr val="764BE1">
                  <a:alpha val="25000"/>
                </a:srgbClr>
              </a:gs>
              <a:gs pos="22000">
                <a:srgbClr val="9742AB"/>
              </a:gs>
              <a:gs pos="100000">
                <a:srgbClr val="764BE1">
                  <a:alpha val="50000"/>
                </a:srgbClr>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8</xdr:col>
      <xdr:colOff>554664</xdr:colOff>
      <xdr:row>31</xdr:row>
      <xdr:rowOff>30815</xdr:rowOff>
    </xdr:from>
    <xdr:to>
      <xdr:col>12</xdr:col>
      <xdr:colOff>551275</xdr:colOff>
      <xdr:row>39</xdr:row>
      <xdr:rowOff>59284</xdr:rowOff>
    </xdr:to>
    <mc:AlternateContent xmlns:mc="http://schemas.openxmlformats.org/markup-compatibility/2006">
      <mc:Choice xmlns:cx2="http://schemas.microsoft.com/office/drawing/2015/10/21/chartex" Requires="cx2">
        <xdr:graphicFrame macro="">
          <xdr:nvGraphicFramePr>
            <xdr:cNvPr id="27" name="Chart 26">
              <a:extLst>
                <a:ext uri="{FF2B5EF4-FFF2-40B4-BE49-F238E27FC236}">
                  <a16:creationId xmlns:a16="http://schemas.microsoft.com/office/drawing/2014/main" id="{4FE37CE7-8A8A-4938-9880-6984B615D8B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5431464" y="5700095"/>
              <a:ext cx="2435011" cy="149150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403349</xdr:colOff>
      <xdr:row>27</xdr:row>
      <xdr:rowOff>135049</xdr:rowOff>
    </xdr:from>
    <xdr:to>
      <xdr:col>18</xdr:col>
      <xdr:colOff>1813</xdr:colOff>
      <xdr:row>29</xdr:row>
      <xdr:rowOff>70812</xdr:rowOff>
    </xdr:to>
    <xdr:sp macro="" textlink="">
      <xdr:nvSpPr>
        <xdr:cNvPr id="34" name="TextBox 33">
          <a:extLst>
            <a:ext uri="{FF2B5EF4-FFF2-40B4-BE49-F238E27FC236}">
              <a16:creationId xmlns:a16="http://schemas.microsoft.com/office/drawing/2014/main" id="{A575A710-7B07-43DD-A0F9-DAF738947AA9}"/>
            </a:ext>
          </a:extLst>
        </xdr:cNvPr>
        <xdr:cNvSpPr txBox="1"/>
      </xdr:nvSpPr>
      <xdr:spPr>
        <a:xfrm>
          <a:off x="8937749" y="5164249"/>
          <a:ext cx="2036864" cy="308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Emp Type</a:t>
          </a:r>
        </a:p>
      </xdr:txBody>
    </xdr:sp>
    <xdr:clientData/>
  </xdr:twoCellAnchor>
  <xdr:twoCellAnchor>
    <xdr:from>
      <xdr:col>17</xdr:col>
      <xdr:colOff>125509</xdr:colOff>
      <xdr:row>32</xdr:row>
      <xdr:rowOff>68166</xdr:rowOff>
    </xdr:from>
    <xdr:to>
      <xdr:col>18</xdr:col>
      <xdr:colOff>426764</xdr:colOff>
      <xdr:row>34</xdr:row>
      <xdr:rowOff>10902</xdr:rowOff>
    </xdr:to>
    <xdr:sp macro="" textlink="">
      <xdr:nvSpPr>
        <xdr:cNvPr id="39" name="TextBox 38">
          <a:extLst>
            <a:ext uri="{FF2B5EF4-FFF2-40B4-BE49-F238E27FC236}">
              <a16:creationId xmlns:a16="http://schemas.microsoft.com/office/drawing/2014/main" id="{877D0FB2-F101-46D8-B1F6-C6E65F8E08ED}"/>
            </a:ext>
          </a:extLst>
        </xdr:cNvPr>
        <xdr:cNvSpPr txBox="1"/>
      </xdr:nvSpPr>
      <xdr:spPr>
        <a:xfrm>
          <a:off x="10488709" y="5859366"/>
          <a:ext cx="910855" cy="304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Permanent</a:t>
          </a:r>
        </a:p>
      </xdr:txBody>
    </xdr:sp>
    <xdr:clientData/>
  </xdr:twoCellAnchor>
  <xdr:twoCellAnchor>
    <xdr:from>
      <xdr:col>17</xdr:col>
      <xdr:colOff>226831</xdr:colOff>
      <xdr:row>36</xdr:row>
      <xdr:rowOff>174536</xdr:rowOff>
    </xdr:from>
    <xdr:to>
      <xdr:col>18</xdr:col>
      <xdr:colOff>404353</xdr:colOff>
      <xdr:row>38</xdr:row>
      <xdr:rowOff>11689</xdr:rowOff>
    </xdr:to>
    <xdr:sp macro="" textlink="">
      <xdr:nvSpPr>
        <xdr:cNvPr id="41" name="TextBox 40">
          <a:extLst>
            <a:ext uri="{FF2B5EF4-FFF2-40B4-BE49-F238E27FC236}">
              <a16:creationId xmlns:a16="http://schemas.microsoft.com/office/drawing/2014/main" id="{7A14DB47-4545-4DB6-B919-ADBAF82DEC34}"/>
            </a:ext>
          </a:extLst>
        </xdr:cNvPr>
        <xdr:cNvSpPr txBox="1"/>
      </xdr:nvSpPr>
      <xdr:spPr>
        <a:xfrm>
          <a:off x="10590031" y="6689636"/>
          <a:ext cx="787122" cy="199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Contract</a:t>
          </a:r>
        </a:p>
      </xdr:txBody>
    </xdr:sp>
    <xdr:clientData/>
  </xdr:twoCellAnchor>
  <xdr:twoCellAnchor>
    <xdr:from>
      <xdr:col>17</xdr:col>
      <xdr:colOff>489609</xdr:colOff>
      <xdr:row>30</xdr:row>
      <xdr:rowOff>107241</xdr:rowOff>
    </xdr:from>
    <xdr:to>
      <xdr:col>18</xdr:col>
      <xdr:colOff>407154</xdr:colOff>
      <xdr:row>32</xdr:row>
      <xdr:rowOff>71777</xdr:rowOff>
    </xdr:to>
    <xdr:sp macro="" textlink="Pivot!AA16">
      <xdr:nvSpPr>
        <xdr:cNvPr id="45" name="TextBox 44">
          <a:extLst>
            <a:ext uri="{FF2B5EF4-FFF2-40B4-BE49-F238E27FC236}">
              <a16:creationId xmlns:a16="http://schemas.microsoft.com/office/drawing/2014/main" id="{71B06860-F48A-4BE9-9717-FC4A4215E86A}"/>
            </a:ext>
          </a:extLst>
        </xdr:cNvPr>
        <xdr:cNvSpPr txBox="1"/>
      </xdr:nvSpPr>
      <xdr:spPr>
        <a:xfrm>
          <a:off x="10852809" y="5536491"/>
          <a:ext cx="527145" cy="326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4B619B-3393-4673-A4C7-567A66195DAC}" type="TxLink">
            <a:rPr lang="en-US" sz="1100" b="0" i="0" u="none" strike="noStrike">
              <a:solidFill>
                <a:schemeClr val="bg1"/>
              </a:solidFill>
              <a:latin typeface="Aptos Narrow"/>
            </a:rPr>
            <a:pPr/>
            <a:t>105</a:t>
          </a:fld>
          <a:endParaRPr lang="en-US" sz="1100">
            <a:solidFill>
              <a:schemeClr val="bg1"/>
            </a:solidFill>
          </a:endParaRPr>
        </a:p>
      </xdr:txBody>
    </xdr:sp>
    <xdr:clientData/>
  </xdr:twoCellAnchor>
  <xdr:twoCellAnchor>
    <xdr:from>
      <xdr:col>17</xdr:col>
      <xdr:colOff>484567</xdr:colOff>
      <xdr:row>34</xdr:row>
      <xdr:rowOff>174091</xdr:rowOff>
    </xdr:from>
    <xdr:to>
      <xdr:col>18</xdr:col>
      <xdr:colOff>590370</xdr:colOff>
      <xdr:row>36</xdr:row>
      <xdr:rowOff>116826</xdr:rowOff>
    </xdr:to>
    <xdr:sp macro="" textlink="Pivot!AA15">
      <xdr:nvSpPr>
        <xdr:cNvPr id="46" name="TextBox 45">
          <a:extLst>
            <a:ext uri="{FF2B5EF4-FFF2-40B4-BE49-F238E27FC236}">
              <a16:creationId xmlns:a16="http://schemas.microsoft.com/office/drawing/2014/main" id="{77DC8EE3-68B0-4F05-96ED-ED7C27EFBCDF}"/>
            </a:ext>
          </a:extLst>
        </xdr:cNvPr>
        <xdr:cNvSpPr txBox="1"/>
      </xdr:nvSpPr>
      <xdr:spPr>
        <a:xfrm>
          <a:off x="10847767" y="6327241"/>
          <a:ext cx="715403" cy="304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CF0B9C-BC87-4CB8-9E5B-EC74DE6FC435}" type="TxLink">
            <a:rPr lang="en-US" sz="1400" b="0" i="0" u="none" strike="noStrike">
              <a:solidFill>
                <a:schemeClr val="bg1"/>
              </a:solidFill>
              <a:latin typeface="Aptos Narrow"/>
            </a:rPr>
            <a:pPr/>
            <a:t>13</a:t>
          </a:fld>
          <a:endParaRPr lang="en-US" sz="1400">
            <a:solidFill>
              <a:schemeClr val="bg1"/>
            </a:solidFill>
          </a:endParaRPr>
        </a:p>
      </xdr:txBody>
    </xdr:sp>
    <xdr:clientData/>
  </xdr:twoCellAnchor>
  <xdr:twoCellAnchor>
    <xdr:from>
      <xdr:col>14</xdr:col>
      <xdr:colOff>65739</xdr:colOff>
      <xdr:row>30</xdr:row>
      <xdr:rowOff>104775</xdr:rowOff>
    </xdr:from>
    <xdr:to>
      <xdr:col>16</xdr:col>
      <xdr:colOff>447674</xdr:colOff>
      <xdr:row>38</xdr:row>
      <xdr:rowOff>61917</xdr:rowOff>
    </xdr:to>
    <xdr:graphicFrame macro="">
      <xdr:nvGraphicFramePr>
        <xdr:cNvPr id="61" name="Chart 60">
          <a:extLst>
            <a:ext uri="{FF2B5EF4-FFF2-40B4-BE49-F238E27FC236}">
              <a16:creationId xmlns:a16="http://schemas.microsoft.com/office/drawing/2014/main" id="{5BD2A1E0-BE3F-429C-8863-55017B51AA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19</xdr:col>
      <xdr:colOff>409574</xdr:colOff>
      <xdr:row>30</xdr:row>
      <xdr:rowOff>12159</xdr:rowOff>
    </xdr:from>
    <xdr:to>
      <xdr:col>24</xdr:col>
      <xdr:colOff>445605</xdr:colOff>
      <xdr:row>38</xdr:row>
      <xdr:rowOff>176976</xdr:rowOff>
    </xdr:to>
    <xdr:graphicFrame macro="">
      <xdr:nvGraphicFramePr>
        <xdr:cNvPr id="63" name="Chart 62">
          <a:extLst>
            <a:ext uri="{FF2B5EF4-FFF2-40B4-BE49-F238E27FC236}">
              <a16:creationId xmlns:a16="http://schemas.microsoft.com/office/drawing/2014/main" id="{12BE7915-5BFD-4910-B095-1C68A2C047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xdr:col>
      <xdr:colOff>161925</xdr:colOff>
      <xdr:row>30</xdr:row>
      <xdr:rowOff>148831</xdr:rowOff>
    </xdr:from>
    <xdr:to>
      <xdr:col>7</xdr:col>
      <xdr:colOff>338959</xdr:colOff>
      <xdr:row>39</xdr:row>
      <xdr:rowOff>32183</xdr:rowOff>
    </xdr:to>
    <xdr:graphicFrame macro="">
      <xdr:nvGraphicFramePr>
        <xdr:cNvPr id="64" name="Chart 63">
          <a:extLst>
            <a:ext uri="{FF2B5EF4-FFF2-40B4-BE49-F238E27FC236}">
              <a16:creationId xmlns:a16="http://schemas.microsoft.com/office/drawing/2014/main" id="{12E6D660-D57C-422F-B8D7-078622AA5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xdr:col>
      <xdr:colOff>246055</xdr:colOff>
      <xdr:row>27</xdr:row>
      <xdr:rowOff>163497</xdr:rowOff>
    </xdr:from>
    <xdr:to>
      <xdr:col>7</xdr:col>
      <xdr:colOff>4008</xdr:colOff>
      <xdr:row>29</xdr:row>
      <xdr:rowOff>138222</xdr:rowOff>
    </xdr:to>
    <xdr:sp macro="" textlink="">
      <xdr:nvSpPr>
        <xdr:cNvPr id="66" name="TextBox 65">
          <a:extLst>
            <a:ext uri="{FF2B5EF4-FFF2-40B4-BE49-F238E27FC236}">
              <a16:creationId xmlns:a16="http://schemas.microsoft.com/office/drawing/2014/main" id="{F7A2CDF5-853A-49FE-ACB8-7AE484FF3FEB}"/>
            </a:ext>
          </a:extLst>
        </xdr:cNvPr>
        <xdr:cNvSpPr txBox="1"/>
      </xdr:nvSpPr>
      <xdr:spPr>
        <a:xfrm>
          <a:off x="2684455" y="5192697"/>
          <a:ext cx="1586753" cy="34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Dept by HC</a:t>
          </a:r>
          <a:r>
            <a:rPr lang="en-US" sz="1800" baseline="0">
              <a:solidFill>
                <a:schemeClr val="bg1"/>
              </a:solidFill>
            </a:rPr>
            <a:t> %</a:t>
          </a:r>
          <a:endParaRPr lang="en-US" sz="1800">
            <a:solidFill>
              <a:schemeClr val="bg1"/>
            </a:solidFill>
          </a:endParaRPr>
        </a:p>
      </xdr:txBody>
    </xdr:sp>
    <xdr:clientData/>
  </xdr:twoCellAnchor>
  <xdr:twoCellAnchor>
    <xdr:from>
      <xdr:col>9</xdr:col>
      <xdr:colOff>457298</xdr:colOff>
      <xdr:row>27</xdr:row>
      <xdr:rowOff>170391</xdr:rowOff>
    </xdr:from>
    <xdr:to>
      <xdr:col>12</xdr:col>
      <xdr:colOff>215251</xdr:colOff>
      <xdr:row>29</xdr:row>
      <xdr:rowOff>145116</xdr:rowOff>
    </xdr:to>
    <xdr:sp macro="" textlink="">
      <xdr:nvSpPr>
        <xdr:cNvPr id="67" name="TextBox 66">
          <a:extLst>
            <a:ext uri="{FF2B5EF4-FFF2-40B4-BE49-F238E27FC236}">
              <a16:creationId xmlns:a16="http://schemas.microsoft.com/office/drawing/2014/main" id="{E76C9695-6209-4F6A-8141-0E5DEA52A975}"/>
            </a:ext>
          </a:extLst>
        </xdr:cNvPr>
        <xdr:cNvSpPr txBox="1"/>
      </xdr:nvSpPr>
      <xdr:spPr>
        <a:xfrm>
          <a:off x="5943698" y="5199591"/>
          <a:ext cx="1586753" cy="34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effectLst/>
              <a:latin typeface="+mn-lt"/>
              <a:ea typeface="+mn-ea"/>
              <a:cs typeface="+mn-cs"/>
            </a:rPr>
            <a:t>HC Reporting</a:t>
          </a:r>
          <a:endParaRPr lang="en-US" sz="2400">
            <a:solidFill>
              <a:schemeClr val="bg1"/>
            </a:solidFill>
            <a:effectLst/>
          </a:endParaRPr>
        </a:p>
      </xdr:txBody>
    </xdr:sp>
    <xdr:clientData/>
  </xdr:twoCellAnchor>
  <xdr:twoCellAnchor>
    <xdr:from>
      <xdr:col>19</xdr:col>
      <xdr:colOff>37608</xdr:colOff>
      <xdr:row>26</xdr:row>
      <xdr:rowOff>152399</xdr:rowOff>
    </xdr:from>
    <xdr:to>
      <xdr:col>21</xdr:col>
      <xdr:colOff>405161</xdr:colOff>
      <xdr:row>28</xdr:row>
      <xdr:rowOff>127124</xdr:rowOff>
    </xdr:to>
    <xdr:sp macro="" textlink="">
      <xdr:nvSpPr>
        <xdr:cNvPr id="68" name="TextBox 67">
          <a:extLst>
            <a:ext uri="{FF2B5EF4-FFF2-40B4-BE49-F238E27FC236}">
              <a16:creationId xmlns:a16="http://schemas.microsoft.com/office/drawing/2014/main" id="{C8C1FE2F-E54F-41BF-B871-E0726F2E2BBB}"/>
            </a:ext>
          </a:extLst>
        </xdr:cNvPr>
        <xdr:cNvSpPr txBox="1"/>
      </xdr:nvSpPr>
      <xdr:spPr>
        <a:xfrm>
          <a:off x="11620008" y="4857749"/>
          <a:ext cx="1586753" cy="33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400">
            <a:solidFill>
              <a:schemeClr val="bg1"/>
            </a:solidFill>
          </a:endParaRPr>
        </a:p>
      </xdr:txBody>
    </xdr:sp>
    <xdr:clientData/>
  </xdr:twoCellAnchor>
  <xdr:twoCellAnchor>
    <xdr:from>
      <xdr:col>21</xdr:col>
      <xdr:colOff>15383</xdr:colOff>
      <xdr:row>27</xdr:row>
      <xdr:rowOff>131234</xdr:rowOff>
    </xdr:from>
    <xdr:to>
      <xdr:col>23</xdr:col>
      <xdr:colOff>382936</xdr:colOff>
      <xdr:row>29</xdr:row>
      <xdr:rowOff>105959</xdr:rowOff>
    </xdr:to>
    <xdr:sp macro="" textlink="">
      <xdr:nvSpPr>
        <xdr:cNvPr id="70" name="TextBox 69">
          <a:extLst>
            <a:ext uri="{FF2B5EF4-FFF2-40B4-BE49-F238E27FC236}">
              <a16:creationId xmlns:a16="http://schemas.microsoft.com/office/drawing/2014/main" id="{8DDF07A2-38F6-4FBC-A22E-426F93851396}"/>
            </a:ext>
          </a:extLst>
        </xdr:cNvPr>
        <xdr:cNvSpPr txBox="1"/>
      </xdr:nvSpPr>
      <xdr:spPr>
        <a:xfrm>
          <a:off x="12816983" y="5160434"/>
          <a:ext cx="1586753" cy="34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Dept by HC</a:t>
          </a:r>
          <a:r>
            <a:rPr lang="en-US" sz="1800" baseline="0">
              <a:solidFill>
                <a:schemeClr val="bg1"/>
              </a:solidFill>
            </a:rPr>
            <a:t> %</a:t>
          </a:r>
          <a:endParaRPr lang="en-US" sz="1800">
            <a:solidFill>
              <a:schemeClr val="bg1"/>
            </a:solidFill>
          </a:endParaRPr>
        </a:p>
      </xdr:txBody>
    </xdr:sp>
    <xdr:clientData/>
  </xdr:twoCellAnchor>
  <xdr:twoCellAnchor>
    <xdr:from>
      <xdr:col>0</xdr:col>
      <xdr:colOff>414868</xdr:colOff>
      <xdr:row>7</xdr:row>
      <xdr:rowOff>164015</xdr:rowOff>
    </xdr:from>
    <xdr:to>
      <xdr:col>2</xdr:col>
      <xdr:colOff>533401</xdr:colOff>
      <xdr:row>40</xdr:row>
      <xdr:rowOff>16933</xdr:rowOff>
    </xdr:to>
    <xdr:sp macro="" textlink="">
      <xdr:nvSpPr>
        <xdr:cNvPr id="72" name="Rectangle: Rounded Corners 71">
          <a:extLst>
            <a:ext uri="{FF2B5EF4-FFF2-40B4-BE49-F238E27FC236}">
              <a16:creationId xmlns:a16="http://schemas.microsoft.com/office/drawing/2014/main" id="{B78756B2-B817-4894-80E3-E06F29D36C60}"/>
            </a:ext>
          </a:extLst>
        </xdr:cNvPr>
        <xdr:cNvSpPr/>
      </xdr:nvSpPr>
      <xdr:spPr>
        <a:xfrm>
          <a:off x="414868" y="1430840"/>
          <a:ext cx="1337733" cy="5825093"/>
        </a:xfrm>
        <a:prstGeom prst="roundRect">
          <a:avLst>
            <a:gd name="adj" fmla="val 5971"/>
          </a:avLst>
        </a:prstGeom>
        <a:gradFill flip="none" rotWithShape="1">
          <a:gsLst>
            <a:gs pos="31000">
              <a:srgbClr val="0A0718"/>
            </a:gs>
            <a:gs pos="100000">
              <a:srgbClr val="851E73"/>
            </a:gs>
            <a:gs pos="81000">
              <a:srgbClr val="0B081A"/>
            </a:gs>
            <a:gs pos="100000">
              <a:srgbClr val="FF33CC"/>
            </a:gs>
            <a:gs pos="38000">
              <a:srgbClr val="080614"/>
            </a:gs>
            <a:gs pos="2000">
              <a:schemeClr val="accent1">
                <a:lumMod val="60000"/>
                <a:lumOff val="40000"/>
              </a:schemeClr>
            </a:gs>
          </a:gsLst>
          <a:path path="circle">
            <a:fillToRect r="100000" b="100000"/>
          </a:path>
          <a:tileRect l="-100000" t="-100000"/>
        </a:gradFill>
        <a:ln w="9525">
          <a:gradFill flip="none" rotWithShape="1">
            <a:gsLst>
              <a:gs pos="75000">
                <a:srgbClr val="764BE1">
                  <a:alpha val="25000"/>
                </a:srgbClr>
              </a:gs>
              <a:gs pos="0">
                <a:schemeClr val="accent5">
                  <a:lumMod val="20000"/>
                  <a:lumOff val="80000"/>
                </a:schemeClr>
              </a:gs>
              <a:gs pos="44000">
                <a:srgbClr val="764BE1">
                  <a:alpha val="25000"/>
                </a:srgbClr>
              </a:gs>
              <a:gs pos="22000">
                <a:srgbClr val="9742AB"/>
              </a:gs>
              <a:gs pos="100000">
                <a:srgbClr val="764BE1">
                  <a:alpha val="50000"/>
                </a:srgbClr>
              </a:gs>
            </a:gsLst>
            <a:path path="circle">
              <a:fillToRect r="100000" b="100000"/>
            </a:path>
            <a:tileRect l="-100000" t="-100000"/>
          </a:gradFill>
        </a:ln>
        <a:effectLst>
          <a:outerShdw blurRad="127000" dist="190500" dir="8100000" algn="tr"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clientData/>
  </xdr:twoCellAnchor>
  <xdr:twoCellAnchor>
    <xdr:from>
      <xdr:col>5</xdr:col>
      <xdr:colOff>431800</xdr:colOff>
      <xdr:row>13</xdr:row>
      <xdr:rowOff>50800</xdr:rowOff>
    </xdr:from>
    <xdr:to>
      <xdr:col>7</xdr:col>
      <xdr:colOff>431800</xdr:colOff>
      <xdr:row>14</xdr:row>
      <xdr:rowOff>152401</xdr:rowOff>
    </xdr:to>
    <xdr:sp macro="" textlink="">
      <xdr:nvSpPr>
        <xdr:cNvPr id="82" name="TextBox 81">
          <a:extLst>
            <a:ext uri="{FF2B5EF4-FFF2-40B4-BE49-F238E27FC236}">
              <a16:creationId xmlns:a16="http://schemas.microsoft.com/office/drawing/2014/main" id="{91588AB8-0B53-64F9-5172-4DEEAFB33591}"/>
            </a:ext>
          </a:extLst>
        </xdr:cNvPr>
        <xdr:cNvSpPr txBox="1"/>
      </xdr:nvSpPr>
      <xdr:spPr>
        <a:xfrm>
          <a:off x="3479800" y="2472267"/>
          <a:ext cx="1219200"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rPr>
            <a:t>HC Growth</a:t>
          </a:r>
        </a:p>
      </xdr:txBody>
    </xdr:sp>
    <xdr:clientData/>
  </xdr:twoCellAnchor>
  <xdr:twoCellAnchor>
    <xdr:from>
      <xdr:col>23</xdr:col>
      <xdr:colOff>195521</xdr:colOff>
      <xdr:row>23</xdr:row>
      <xdr:rowOff>181035</xdr:rowOff>
    </xdr:from>
    <xdr:to>
      <xdr:col>24</xdr:col>
      <xdr:colOff>356886</xdr:colOff>
      <xdr:row>25</xdr:row>
      <xdr:rowOff>3732</xdr:rowOff>
    </xdr:to>
    <xdr:sp macro="" textlink="Pivot!P15">
      <xdr:nvSpPr>
        <xdr:cNvPr id="85" name="TextBox 84">
          <a:extLst>
            <a:ext uri="{FF2B5EF4-FFF2-40B4-BE49-F238E27FC236}">
              <a16:creationId xmlns:a16="http://schemas.microsoft.com/office/drawing/2014/main" id="{716E839E-2921-42C7-B9BE-A3669EE9C779}"/>
            </a:ext>
          </a:extLst>
        </xdr:cNvPr>
        <xdr:cNvSpPr txBox="1"/>
      </xdr:nvSpPr>
      <xdr:spPr>
        <a:xfrm>
          <a:off x="14216321" y="4465168"/>
          <a:ext cx="770965" cy="195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3BF671-57D8-45F8-BA1E-05A6C61C4325}" type="TxLink">
            <a:rPr lang="en-US" sz="1100" b="0" i="0" u="none" strike="noStrike">
              <a:solidFill>
                <a:schemeClr val="bg1"/>
              </a:solidFill>
              <a:latin typeface="Aptos Narrow"/>
            </a:rPr>
            <a:pPr algn="ctr"/>
            <a:t>13</a:t>
          </a:fld>
          <a:endParaRPr lang="en-US" sz="1100">
            <a:solidFill>
              <a:schemeClr val="bg1"/>
            </a:solidFill>
          </a:endParaRPr>
        </a:p>
      </xdr:txBody>
    </xdr:sp>
    <xdr:clientData/>
  </xdr:twoCellAnchor>
  <xdr:twoCellAnchor>
    <xdr:from>
      <xdr:col>12</xdr:col>
      <xdr:colOff>487315</xdr:colOff>
      <xdr:row>13</xdr:row>
      <xdr:rowOff>19291</xdr:rowOff>
    </xdr:from>
    <xdr:to>
      <xdr:col>14</xdr:col>
      <xdr:colOff>583771</xdr:colOff>
      <xdr:row>15</xdr:row>
      <xdr:rowOff>19292</xdr:rowOff>
    </xdr:to>
    <xdr:sp macro="" textlink="">
      <xdr:nvSpPr>
        <xdr:cNvPr id="86" name="TextBox 85">
          <a:extLst>
            <a:ext uri="{FF2B5EF4-FFF2-40B4-BE49-F238E27FC236}">
              <a16:creationId xmlns:a16="http://schemas.microsoft.com/office/drawing/2014/main" id="{3687AFB8-903D-9EE9-9544-27E90D85F0FF}"/>
            </a:ext>
          </a:extLst>
        </xdr:cNvPr>
        <xdr:cNvSpPr txBox="1"/>
      </xdr:nvSpPr>
      <xdr:spPr>
        <a:xfrm>
          <a:off x="7802515" y="2440758"/>
          <a:ext cx="1315656" cy="372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Diversity</a:t>
          </a:r>
        </a:p>
      </xdr:txBody>
    </xdr:sp>
    <xdr:clientData/>
  </xdr:twoCellAnchor>
  <xdr:twoCellAnchor editAs="oneCell">
    <xdr:from>
      <xdr:col>16</xdr:col>
      <xdr:colOff>263151</xdr:colOff>
      <xdr:row>34</xdr:row>
      <xdr:rowOff>128949</xdr:rowOff>
    </xdr:from>
    <xdr:to>
      <xdr:col>17</xdr:col>
      <xdr:colOff>272116</xdr:colOff>
      <xdr:row>37</xdr:row>
      <xdr:rowOff>126894</xdr:rowOff>
    </xdr:to>
    <xdr:pic>
      <xdr:nvPicPr>
        <xdr:cNvPr id="6" name="Graphic 5" descr="Male profile with solid fill">
          <a:extLst>
            <a:ext uri="{FF2B5EF4-FFF2-40B4-BE49-F238E27FC236}">
              <a16:creationId xmlns:a16="http://schemas.microsoft.com/office/drawing/2014/main" id="{CAB5A57B-4BD0-4D4A-A4C4-1DC1CB4ED0F3}"/>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016751" y="6282099"/>
          <a:ext cx="618565" cy="540870"/>
        </a:xfrm>
        <a:prstGeom prst="rect">
          <a:avLst/>
        </a:prstGeom>
      </xdr:spPr>
    </xdr:pic>
    <xdr:clientData/>
  </xdr:twoCellAnchor>
  <xdr:twoCellAnchor editAs="oneCell">
    <xdr:from>
      <xdr:col>16</xdr:col>
      <xdr:colOff>214965</xdr:colOff>
      <xdr:row>30</xdr:row>
      <xdr:rowOff>76406</xdr:rowOff>
    </xdr:from>
    <xdr:to>
      <xdr:col>17</xdr:col>
      <xdr:colOff>223930</xdr:colOff>
      <xdr:row>33</xdr:row>
      <xdr:rowOff>74352</xdr:rowOff>
    </xdr:to>
    <xdr:pic>
      <xdr:nvPicPr>
        <xdr:cNvPr id="11" name="Graphic 10" descr="Male profile with solid fill">
          <a:extLst>
            <a:ext uri="{FF2B5EF4-FFF2-40B4-BE49-F238E27FC236}">
              <a16:creationId xmlns:a16="http://schemas.microsoft.com/office/drawing/2014/main" id="{1813B0F1-828A-418A-A3CC-6D26BCE4B2FC}"/>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968565" y="5505656"/>
          <a:ext cx="618565" cy="540871"/>
        </a:xfrm>
        <a:prstGeom prst="rect">
          <a:avLst/>
        </a:prstGeom>
      </xdr:spPr>
    </xdr:pic>
    <xdr:clientData/>
  </xdr:twoCellAnchor>
  <xdr:twoCellAnchor editAs="oneCell">
    <xdr:from>
      <xdr:col>0</xdr:col>
      <xdr:colOff>419100</xdr:colOff>
      <xdr:row>24</xdr:row>
      <xdr:rowOff>19024</xdr:rowOff>
    </xdr:from>
    <xdr:to>
      <xdr:col>3</xdr:col>
      <xdr:colOff>42333</xdr:colOff>
      <xdr:row>40</xdr:row>
      <xdr:rowOff>10584</xdr:rowOff>
    </xdr:to>
    <mc:AlternateContent xmlns:mc="http://schemas.openxmlformats.org/markup-compatibility/2006" xmlns:a14="http://schemas.microsoft.com/office/drawing/2010/main">
      <mc:Choice Requires="a14">
        <xdr:graphicFrame macro="">
          <xdr:nvGraphicFramePr>
            <xdr:cNvPr id="65" name="Reporting Manager 1">
              <a:extLst>
                <a:ext uri="{FF2B5EF4-FFF2-40B4-BE49-F238E27FC236}">
                  <a16:creationId xmlns:a16="http://schemas.microsoft.com/office/drawing/2014/main" id="{22682556-5B47-4153-9FB2-2B56DF29A0AE}"/>
                </a:ext>
              </a:extLst>
            </xdr:cNvPr>
            <xdr:cNvGraphicFramePr/>
          </xdr:nvGraphicFramePr>
          <xdr:xfrm>
            <a:off x="0" y="0"/>
            <a:ext cx="0" cy="0"/>
          </xdr:xfrm>
          <a:graphic>
            <a:graphicData uri="http://schemas.microsoft.com/office/drawing/2010/slicer">
              <sle:slicer xmlns:sle="http://schemas.microsoft.com/office/drawing/2010/slicer" name="Reporting Manager 1"/>
            </a:graphicData>
          </a:graphic>
        </xdr:graphicFrame>
      </mc:Choice>
      <mc:Fallback xmlns="">
        <xdr:sp macro="" textlink="">
          <xdr:nvSpPr>
            <xdr:cNvPr id="0" name=""/>
            <xdr:cNvSpPr>
              <a:spLocks noTextEdit="1"/>
            </xdr:cNvSpPr>
          </xdr:nvSpPr>
          <xdr:spPr>
            <a:xfrm>
              <a:off x="419100" y="4337024"/>
              <a:ext cx="1464733" cy="28702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438151</xdr:colOff>
      <xdr:row>8</xdr:row>
      <xdr:rowOff>9526</xdr:rowOff>
    </xdr:from>
    <xdr:to>
      <xdr:col>3</xdr:col>
      <xdr:colOff>32657</xdr:colOff>
      <xdr:row>21</xdr:row>
      <xdr:rowOff>152400</xdr:rowOff>
    </xdr:to>
    <mc:AlternateContent xmlns:mc="http://schemas.openxmlformats.org/markup-compatibility/2006" xmlns:a14="http://schemas.microsoft.com/office/drawing/2010/main">
      <mc:Choice Requires="a14">
        <xdr:graphicFrame macro="">
          <xdr:nvGraphicFramePr>
            <xdr:cNvPr id="23" name="Department 1">
              <a:extLst>
                <a:ext uri="{FF2B5EF4-FFF2-40B4-BE49-F238E27FC236}">
                  <a16:creationId xmlns:a16="http://schemas.microsoft.com/office/drawing/2014/main" id="{D6333A65-64CF-480C-A63B-BA1C88F1FED7}"/>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438150" y="1457325"/>
              <a:ext cx="1343025" cy="27502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13758</xdr:colOff>
      <xdr:row>2</xdr:row>
      <xdr:rowOff>123824</xdr:rowOff>
    </xdr:from>
    <xdr:to>
      <xdr:col>19</xdr:col>
      <xdr:colOff>408516</xdr:colOff>
      <xdr:row>6</xdr:row>
      <xdr:rowOff>38099</xdr:rowOff>
    </xdr:to>
    <xdr:sp macro="" textlink="">
      <xdr:nvSpPr>
        <xdr:cNvPr id="73" name="TextBox 72">
          <a:extLst>
            <a:ext uri="{FF2B5EF4-FFF2-40B4-BE49-F238E27FC236}">
              <a16:creationId xmlns:a16="http://schemas.microsoft.com/office/drawing/2014/main" id="{9C9A96D0-1562-07F4-7DEA-F39437B727B2}"/>
            </a:ext>
          </a:extLst>
        </xdr:cNvPr>
        <xdr:cNvSpPr txBox="1"/>
      </xdr:nvSpPr>
      <xdr:spPr>
        <a:xfrm>
          <a:off x="5538258" y="1213907"/>
          <a:ext cx="6533091" cy="63394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solidFill>
                <a:schemeClr val="bg1"/>
              </a:solidFill>
              <a:effectLst/>
            </a:rPr>
            <a:t>HR ANALYTICS DASHBOARD</a:t>
          </a:r>
        </a:p>
      </xdr:txBody>
    </xdr:sp>
    <xdr:clientData/>
  </xdr:twoCellAnchor>
  <xdr:twoCellAnchor editAs="oneCell">
    <xdr:from>
      <xdr:col>23</xdr:col>
      <xdr:colOff>561974</xdr:colOff>
      <xdr:row>3</xdr:row>
      <xdr:rowOff>35590</xdr:rowOff>
    </xdr:from>
    <xdr:to>
      <xdr:col>24</xdr:col>
      <xdr:colOff>561976</xdr:colOff>
      <xdr:row>6</xdr:row>
      <xdr:rowOff>123185</xdr:rowOff>
    </xdr:to>
    <xdr:pic>
      <xdr:nvPicPr>
        <xdr:cNvPr id="77" name="Graphic 76" descr="Man with solid fill">
          <a:extLst>
            <a:ext uri="{FF2B5EF4-FFF2-40B4-BE49-F238E27FC236}">
              <a16:creationId xmlns:a16="http://schemas.microsoft.com/office/drawing/2014/main" id="{054497F9-C6FF-481A-8BFE-4014F5E5E95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4582774" y="578515"/>
          <a:ext cx="609602" cy="630520"/>
        </a:xfrm>
        <a:prstGeom prst="rect">
          <a:avLst/>
        </a:prstGeom>
      </xdr:spPr>
    </xdr:pic>
    <xdr:clientData/>
  </xdr:twoCellAnchor>
  <xdr:twoCellAnchor>
    <xdr:from>
      <xdr:col>15</xdr:col>
      <xdr:colOff>323849</xdr:colOff>
      <xdr:row>19</xdr:row>
      <xdr:rowOff>57150</xdr:rowOff>
    </xdr:from>
    <xdr:to>
      <xdr:col>16</xdr:col>
      <xdr:colOff>200024</xdr:colOff>
      <xdr:row>20</xdr:row>
      <xdr:rowOff>104775</xdr:rowOff>
    </xdr:to>
    <xdr:sp macro="" textlink="">
      <xdr:nvSpPr>
        <xdr:cNvPr id="78" name="TextBox 77">
          <a:extLst>
            <a:ext uri="{FF2B5EF4-FFF2-40B4-BE49-F238E27FC236}">
              <a16:creationId xmlns:a16="http://schemas.microsoft.com/office/drawing/2014/main" id="{CE2D076D-6769-A1B2-A961-3C2E198CA5E4}"/>
            </a:ext>
          </a:extLst>
        </xdr:cNvPr>
        <xdr:cNvSpPr txBox="1"/>
      </xdr:nvSpPr>
      <xdr:spPr>
        <a:xfrm>
          <a:off x="9467849" y="3495675"/>
          <a:ext cx="485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Male</a:t>
          </a:r>
        </a:p>
      </xdr:txBody>
    </xdr:sp>
    <xdr:clientData/>
  </xdr:twoCellAnchor>
  <xdr:twoCellAnchor>
    <xdr:from>
      <xdr:col>5</xdr:col>
      <xdr:colOff>178252</xdr:colOff>
      <xdr:row>9</xdr:row>
      <xdr:rowOff>9524</xdr:rowOff>
    </xdr:from>
    <xdr:to>
      <xdr:col>6</xdr:col>
      <xdr:colOff>378277</xdr:colOff>
      <xdr:row>12</xdr:row>
      <xdr:rowOff>28574</xdr:rowOff>
    </xdr:to>
    <xdr:sp macro="" textlink="'Dark Mood'!$C$15">
      <xdr:nvSpPr>
        <xdr:cNvPr id="80" name="TextBox 79">
          <a:extLst>
            <a:ext uri="{FF2B5EF4-FFF2-40B4-BE49-F238E27FC236}">
              <a16:creationId xmlns:a16="http://schemas.microsoft.com/office/drawing/2014/main" id="{01B0AC95-7A4E-2D48-995A-ACEA65778F1C}"/>
            </a:ext>
          </a:extLst>
        </xdr:cNvPr>
        <xdr:cNvSpPr txBox="1"/>
      </xdr:nvSpPr>
      <xdr:spPr>
        <a:xfrm>
          <a:off x="3226252" y="1675038"/>
          <a:ext cx="809625" cy="574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914F50-DD1D-4F2A-8440-22B789CC73D2}" type="TxLink">
            <a:rPr lang="en-US" sz="1100" b="0" i="0" u="none" strike="noStrike">
              <a:solidFill>
                <a:srgbClr val="000000"/>
              </a:solidFill>
              <a:effectLst/>
              <a:latin typeface="Aptos Narrow"/>
            </a:rPr>
            <a:pPr/>
            <a:t> </a:t>
          </a:fld>
          <a:endParaRPr lang="en-US" sz="2800">
            <a:solidFill>
              <a:schemeClr val="bg1"/>
            </a:solidFill>
          </a:endParaRPr>
        </a:p>
      </xdr:txBody>
    </xdr:sp>
    <xdr:clientData/>
  </xdr:twoCellAnchor>
  <xdr:twoCellAnchor>
    <xdr:from>
      <xdr:col>14</xdr:col>
      <xdr:colOff>174172</xdr:colOff>
      <xdr:row>8</xdr:row>
      <xdr:rowOff>119742</xdr:rowOff>
    </xdr:from>
    <xdr:to>
      <xdr:col>15</xdr:col>
      <xdr:colOff>232682</xdr:colOff>
      <xdr:row>11</xdr:row>
      <xdr:rowOff>48985</xdr:rowOff>
    </xdr:to>
    <xdr:sp macro="" textlink="Pivot!C17">
      <xdr:nvSpPr>
        <xdr:cNvPr id="4" name="TextBox 3">
          <a:extLst>
            <a:ext uri="{FF2B5EF4-FFF2-40B4-BE49-F238E27FC236}">
              <a16:creationId xmlns:a16="http://schemas.microsoft.com/office/drawing/2014/main" id="{05C802E4-2B8A-D329-EC27-37021DDDD6C1}"/>
            </a:ext>
          </a:extLst>
        </xdr:cNvPr>
        <xdr:cNvSpPr txBox="1"/>
      </xdr:nvSpPr>
      <xdr:spPr>
        <a:xfrm>
          <a:off x="8708572" y="1600199"/>
          <a:ext cx="668110" cy="48441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C8E0F20-F2A2-4F2F-9EF2-CE58F2FA992D}" type="TxLink">
            <a:rPr lang="en-US" sz="2800" b="0" i="0" u="none" strike="noStrike">
              <a:ln>
                <a:noFill/>
              </a:ln>
              <a:solidFill>
                <a:schemeClr val="bg1"/>
              </a:solidFill>
              <a:latin typeface="Aptos Narrow"/>
              <a:ea typeface="+mn-ea"/>
              <a:cs typeface="+mn-cs"/>
            </a:rPr>
            <a:pPr marL="0" indent="0" algn="ctr"/>
            <a:t>47</a:t>
          </a:fld>
          <a:endParaRPr lang="en-US" sz="2800" b="0" i="0" u="none" strike="noStrike">
            <a:ln>
              <a:noFill/>
            </a:ln>
            <a:solidFill>
              <a:schemeClr val="bg1"/>
            </a:solidFill>
            <a:latin typeface="Aptos Narrow"/>
            <a:ea typeface="+mn-ea"/>
            <a:cs typeface="+mn-cs"/>
          </a:endParaRPr>
        </a:p>
      </xdr:txBody>
    </xdr:sp>
    <xdr:clientData/>
  </xdr:twoCellAnchor>
  <xdr:twoCellAnchor>
    <xdr:from>
      <xdr:col>18</xdr:col>
      <xdr:colOff>146956</xdr:colOff>
      <xdr:row>9</xdr:row>
      <xdr:rowOff>43543</xdr:rowOff>
    </xdr:from>
    <xdr:to>
      <xdr:col>19</xdr:col>
      <xdr:colOff>461281</xdr:colOff>
      <xdr:row>11</xdr:row>
      <xdr:rowOff>32658</xdr:rowOff>
    </xdr:to>
    <xdr:sp macro="" textlink="Pivot!C18">
      <xdr:nvSpPr>
        <xdr:cNvPr id="37" name="TextBox 36">
          <a:extLst>
            <a:ext uri="{FF2B5EF4-FFF2-40B4-BE49-F238E27FC236}">
              <a16:creationId xmlns:a16="http://schemas.microsoft.com/office/drawing/2014/main" id="{2120313A-3597-7AFD-947A-9AD09A41AC72}"/>
            </a:ext>
          </a:extLst>
        </xdr:cNvPr>
        <xdr:cNvSpPr txBox="1"/>
      </xdr:nvSpPr>
      <xdr:spPr>
        <a:xfrm>
          <a:off x="11119756" y="1709057"/>
          <a:ext cx="923925" cy="359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0D997A-9258-484E-B7B3-9DCC7D936E66}" type="TxLink">
            <a:rPr lang="en-US" sz="2800" b="0" i="0" u="none" strike="noStrike">
              <a:solidFill>
                <a:schemeClr val="bg1"/>
              </a:solidFill>
              <a:latin typeface="Aptos Narrow"/>
            </a:rPr>
            <a:pPr algn="ctr"/>
            <a:t>27%</a:t>
          </a:fld>
          <a:endParaRPr lang="en-US" sz="2800">
            <a:solidFill>
              <a:schemeClr val="bg1"/>
            </a:solidFill>
          </a:endParaRPr>
        </a:p>
      </xdr:txBody>
    </xdr:sp>
    <xdr:clientData/>
  </xdr:twoCellAnchor>
  <xdr:twoCellAnchor editAs="oneCell">
    <xdr:from>
      <xdr:col>7</xdr:col>
      <xdr:colOff>51859</xdr:colOff>
      <xdr:row>3</xdr:row>
      <xdr:rowOff>12700</xdr:rowOff>
    </xdr:from>
    <xdr:to>
      <xdr:col>8</xdr:col>
      <xdr:colOff>356658</xdr:colOff>
      <xdr:row>6</xdr:row>
      <xdr:rowOff>79375</xdr:rowOff>
    </xdr:to>
    <xdr:pic macro="[0]!Refresh_All">
      <xdr:nvPicPr>
        <xdr:cNvPr id="71" name="Graphic 70" descr="Arrow circle with solid fill">
          <a:extLst>
            <a:ext uri="{FF2B5EF4-FFF2-40B4-BE49-F238E27FC236}">
              <a16:creationId xmlns:a16="http://schemas.microsoft.com/office/drawing/2014/main" id="{5ED58BE0-673F-680F-DDF4-0DC9F807EE5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348692" y="1282700"/>
          <a:ext cx="918633" cy="606425"/>
        </a:xfrm>
        <a:prstGeom prst="rect">
          <a:avLst/>
        </a:prstGeom>
      </xdr:spPr>
    </xdr:pic>
    <xdr:clientData/>
  </xdr:twoCellAnchor>
  <xdr:twoCellAnchor editAs="oneCell">
    <xdr:from>
      <xdr:col>19</xdr:col>
      <xdr:colOff>389164</xdr:colOff>
      <xdr:row>2</xdr:row>
      <xdr:rowOff>159203</xdr:rowOff>
    </xdr:from>
    <xdr:to>
      <xdr:col>20</xdr:col>
      <xdr:colOff>436789</xdr:colOff>
      <xdr:row>6</xdr:row>
      <xdr:rowOff>111579</xdr:rowOff>
    </xdr:to>
    <xdr:pic macro="[0]!Swtchprg">
      <xdr:nvPicPr>
        <xdr:cNvPr id="75" name="Graphic 74" descr="Monitor with solid fill">
          <a:extLst>
            <a:ext uri="{FF2B5EF4-FFF2-40B4-BE49-F238E27FC236}">
              <a16:creationId xmlns:a16="http://schemas.microsoft.com/office/drawing/2014/main" id="{7B508FA8-17B4-C82E-8DEA-B820B77DF11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1971564" y="529317"/>
          <a:ext cx="657225" cy="692605"/>
        </a:xfrm>
        <a:prstGeom prst="rect">
          <a:avLst/>
        </a:prstGeom>
      </xdr:spPr>
    </xdr:pic>
    <xdr:clientData/>
  </xdr:twoCellAnchor>
  <xdr:twoCellAnchor>
    <xdr:from>
      <xdr:col>21</xdr:col>
      <xdr:colOff>413053</xdr:colOff>
      <xdr:row>3</xdr:row>
      <xdr:rowOff>303</xdr:rowOff>
    </xdr:from>
    <xdr:to>
      <xdr:col>23</xdr:col>
      <xdr:colOff>6046</xdr:colOff>
      <xdr:row>7</xdr:row>
      <xdr:rowOff>0</xdr:rowOff>
    </xdr:to>
    <xdr:sp macro="" textlink="">
      <xdr:nvSpPr>
        <xdr:cNvPr id="74" name="Rectangle: Rounded Corners 73">
          <a:hlinkClick xmlns:r="http://schemas.openxmlformats.org/officeDocument/2006/relationships" r:id="rId30"/>
          <a:extLst>
            <a:ext uri="{FF2B5EF4-FFF2-40B4-BE49-F238E27FC236}">
              <a16:creationId xmlns:a16="http://schemas.microsoft.com/office/drawing/2014/main" id="{3EBE9774-3903-0581-1FA5-70A9031E557A}"/>
            </a:ext>
          </a:extLst>
        </xdr:cNvPr>
        <xdr:cNvSpPr/>
      </xdr:nvSpPr>
      <xdr:spPr>
        <a:xfrm>
          <a:off x="13303553" y="1270303"/>
          <a:ext cx="820660" cy="719364"/>
        </a:xfrm>
        <a:prstGeom prst="roundRect">
          <a:avLst/>
        </a:prstGeom>
        <a:noFill/>
        <a:ln>
          <a:solidFill>
            <a:srgbClr val="7266E0"/>
          </a:solidFill>
        </a:ln>
        <a:effectLst>
          <a:outerShdw blurRad="50800" dist="38100" dir="2700000" algn="tl" rotWithShape="0">
            <a:schemeClr val="accent5">
              <a:lumMod val="40000"/>
              <a:lumOff val="60000"/>
              <a:alpha val="40000"/>
            </a:scheme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a:solidFill>
                <a:schemeClr val="bg1"/>
              </a:solidFill>
              <a:effectLst>
                <a:glow rad="139700">
                  <a:schemeClr val="accent5">
                    <a:satMod val="175000"/>
                    <a:alpha val="40000"/>
                  </a:schemeClr>
                </a:glow>
                <a:innerShdw blurRad="63500" dist="50800" dir="13500000">
                  <a:prstClr val="black">
                    <a:alpha val="50000"/>
                  </a:prstClr>
                </a:innerShdw>
              </a:effectLst>
            </a:rPr>
            <a:t>Light</a:t>
          </a:r>
          <a:r>
            <a:rPr lang="en-US" sz="1600">
              <a:solidFill>
                <a:schemeClr val="bg1"/>
              </a:solidFill>
              <a:effectLst>
                <a:glow rad="139700">
                  <a:schemeClr val="accent5">
                    <a:satMod val="175000"/>
                    <a:alpha val="40000"/>
                  </a:schemeClr>
                </a:glow>
              </a:effectLst>
            </a:rPr>
            <a:t> </a:t>
          </a:r>
        </a:p>
        <a:p>
          <a:pPr algn="ctr"/>
          <a:r>
            <a:rPr lang="en-US" sz="1600">
              <a:solidFill>
                <a:schemeClr val="bg1"/>
              </a:solidFill>
              <a:effectLst>
                <a:glow rad="139700">
                  <a:schemeClr val="accent5">
                    <a:satMod val="175000"/>
                    <a:alpha val="40000"/>
                  </a:schemeClr>
                </a:glow>
                <a:outerShdw blurRad="75057" dist="38100" dir="5400000" sy="-20000" rotWithShape="0">
                  <a:prstClr val="black">
                    <a:alpha val="25000"/>
                  </a:prstClr>
                </a:outerShdw>
              </a:effectLst>
            </a:rPr>
            <a:t>mood</a:t>
          </a:r>
        </a:p>
      </xdr:txBody>
    </xdr:sp>
    <xdr:clientData/>
  </xdr:twoCellAnchor>
  <xdr:twoCellAnchor>
    <xdr:from>
      <xdr:col>4</xdr:col>
      <xdr:colOff>544286</xdr:colOff>
      <xdr:row>9</xdr:row>
      <xdr:rowOff>52011</xdr:rowOff>
    </xdr:from>
    <xdr:to>
      <xdr:col>6</xdr:col>
      <xdr:colOff>338098</xdr:colOff>
      <xdr:row>11</xdr:row>
      <xdr:rowOff>56341</xdr:rowOff>
    </xdr:to>
    <xdr:sp macro="" textlink="Pivot!C15">
      <xdr:nvSpPr>
        <xdr:cNvPr id="79" name="TextBox 78">
          <a:extLst>
            <a:ext uri="{FF2B5EF4-FFF2-40B4-BE49-F238E27FC236}">
              <a16:creationId xmlns:a16="http://schemas.microsoft.com/office/drawing/2014/main" id="{E78FB650-04B6-4C80-A31E-4ED4EE13423A}"/>
            </a:ext>
          </a:extLst>
        </xdr:cNvPr>
        <xdr:cNvSpPr txBox="1"/>
      </xdr:nvSpPr>
      <xdr:spPr>
        <a:xfrm>
          <a:off x="2982686" y="1717525"/>
          <a:ext cx="1013012" cy="37444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EAD470-840A-4CA1-9CD2-CD47DF694A3B}" type="TxLink">
            <a:rPr lang="en-US" sz="2800" b="0" i="0" u="none" strike="noStrike">
              <a:ln>
                <a:noFill/>
              </a:ln>
              <a:solidFill>
                <a:schemeClr val="bg1"/>
              </a:solidFill>
              <a:latin typeface="Aptos Narrow"/>
            </a:rPr>
            <a:pPr algn="ctr"/>
            <a:t>171</a:t>
          </a:fld>
          <a:endParaRPr lang="en-US" sz="1400">
            <a:ln>
              <a:noFill/>
            </a:ln>
            <a:solidFill>
              <a:schemeClr val="bg1"/>
            </a:solidFill>
          </a:endParaRPr>
        </a:p>
      </xdr:txBody>
    </xdr:sp>
    <xdr:clientData/>
  </xdr:twoCellAnchor>
  <xdr:twoCellAnchor>
    <xdr:from>
      <xdr:col>30</xdr:col>
      <xdr:colOff>68580</xdr:colOff>
      <xdr:row>12</xdr:row>
      <xdr:rowOff>126274</xdr:rowOff>
    </xdr:from>
    <xdr:to>
      <xdr:col>30</xdr:col>
      <xdr:colOff>419100</xdr:colOff>
      <xdr:row>14</xdr:row>
      <xdr:rowOff>38100</xdr:rowOff>
    </xdr:to>
    <xdr:sp macro="" textlink="">
      <xdr:nvSpPr>
        <xdr:cNvPr id="1029" name="Rectangle 5">
          <a:extLst>
            <a:ext uri="{FF2B5EF4-FFF2-40B4-BE49-F238E27FC236}">
              <a16:creationId xmlns:a16="http://schemas.microsoft.com/office/drawing/2014/main" id="{F23962FE-D7C6-DDF3-A419-4FDE230C6A8C}"/>
            </a:ext>
          </a:extLst>
        </xdr:cNvPr>
        <xdr:cNvSpPr>
          <a:spLocks noChangeArrowheads="1"/>
        </xdr:cNvSpPr>
      </xdr:nvSpPr>
      <xdr:spPr bwMode="auto">
        <a:xfrm>
          <a:off x="18356580" y="2346960"/>
          <a:ext cx="350520" cy="28194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l" rtl="0">
            <a:defRPr sz="1000"/>
          </a:pPr>
          <a:r>
            <a:rPr lang="en-US" sz="1800" b="0" i="0" u="none" strike="noStrike" baseline="0">
              <a:solidFill>
                <a:schemeClr val="bg1"/>
              </a:solidFill>
              <a:latin typeface="Aptos Narrow"/>
            </a:rPr>
            <a:t>171</a:t>
          </a:r>
        </a:p>
      </xdr:txBody>
    </xdr:sp>
    <xdr:clientData/>
  </xdr:twoCellAnchor>
  <xdr:twoCellAnchor>
    <xdr:from>
      <xdr:col>9</xdr:col>
      <xdr:colOff>205124</xdr:colOff>
      <xdr:row>9</xdr:row>
      <xdr:rowOff>24975</xdr:rowOff>
    </xdr:from>
    <xdr:to>
      <xdr:col>10</xdr:col>
      <xdr:colOff>519449</xdr:colOff>
      <xdr:row>11</xdr:row>
      <xdr:rowOff>14090</xdr:rowOff>
    </xdr:to>
    <xdr:sp macro="" textlink="Pivot!C16">
      <xdr:nvSpPr>
        <xdr:cNvPr id="84" name="TextBox 83">
          <a:extLst>
            <a:ext uri="{FF2B5EF4-FFF2-40B4-BE49-F238E27FC236}">
              <a16:creationId xmlns:a16="http://schemas.microsoft.com/office/drawing/2014/main" id="{55BD8CB9-9148-4DEC-A3BC-63040CD13AAE}"/>
            </a:ext>
          </a:extLst>
        </xdr:cNvPr>
        <xdr:cNvSpPr txBox="1"/>
      </xdr:nvSpPr>
      <xdr:spPr>
        <a:xfrm>
          <a:off x="5691524" y="1690489"/>
          <a:ext cx="923925" cy="35923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2CC7615-9D57-42DB-9265-A73996E3F0D0}" type="TxLink">
            <a:rPr lang="en-US" sz="2800" b="0" i="0" u="none" strike="noStrike">
              <a:ln>
                <a:noFill/>
              </a:ln>
              <a:solidFill>
                <a:schemeClr val="bg1"/>
              </a:solidFill>
              <a:latin typeface="Aptos Narrow"/>
              <a:ea typeface="+mn-ea"/>
              <a:cs typeface="+mn-cs"/>
            </a:rPr>
            <a:pPr marL="0" indent="0" algn="ctr"/>
            <a:t>118</a:t>
          </a:fld>
          <a:endParaRPr lang="en-US" sz="2800" b="0" i="0" u="none" strike="noStrike">
            <a:ln>
              <a:noFill/>
            </a:ln>
            <a:solidFill>
              <a:schemeClr val="bg1"/>
            </a:solidFill>
            <a:latin typeface="Aptos Narrow"/>
            <a:ea typeface="+mn-ea"/>
            <a:cs typeface="+mn-cs"/>
          </a:endParaRPr>
        </a:p>
      </xdr:txBody>
    </xdr:sp>
    <xdr:clientData/>
  </xdr:twoCellAnchor>
  <xdr:twoCellAnchor>
    <xdr:from>
      <xdr:col>22</xdr:col>
      <xdr:colOff>544285</xdr:colOff>
      <xdr:row>8</xdr:row>
      <xdr:rowOff>32657</xdr:rowOff>
    </xdr:from>
    <xdr:to>
      <xdr:col>24</xdr:col>
      <xdr:colOff>87084</xdr:colOff>
      <xdr:row>12</xdr:row>
      <xdr:rowOff>87085</xdr:rowOff>
    </xdr:to>
    <xdr:sp macro="" textlink="Pivot!C19">
      <xdr:nvSpPr>
        <xdr:cNvPr id="95" name="TextBox 94">
          <a:extLst>
            <a:ext uri="{FF2B5EF4-FFF2-40B4-BE49-F238E27FC236}">
              <a16:creationId xmlns:a16="http://schemas.microsoft.com/office/drawing/2014/main" id="{25A363D3-BD15-4BAB-858F-755355EDD438}"/>
            </a:ext>
          </a:extLst>
        </xdr:cNvPr>
        <xdr:cNvSpPr txBox="1"/>
      </xdr:nvSpPr>
      <xdr:spPr>
        <a:xfrm>
          <a:off x="13955485" y="1513114"/>
          <a:ext cx="761999" cy="794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BAA2B3-38F9-4C6D-8E74-3E5C6E60CAAF}" type="TxLink">
            <a:rPr lang="en-US" sz="2800" b="0" i="0" u="none" strike="noStrike">
              <a:solidFill>
                <a:schemeClr val="bg1"/>
              </a:solidFill>
              <a:latin typeface="Aptos Narrow"/>
            </a:rPr>
            <a:pPr algn="ctr"/>
            <a:t>6</a:t>
          </a:fld>
          <a:endParaRPr lang="en-US" sz="6000">
            <a:solidFill>
              <a:schemeClr val="bg1"/>
            </a:solidFill>
          </a:endParaRPr>
        </a:p>
      </xdr:txBody>
    </xdr:sp>
    <xdr:clientData/>
  </xdr:twoCellAnchor>
  <xdr:twoCellAnchor>
    <xdr:from>
      <xdr:col>4</xdr:col>
      <xdr:colOff>476248</xdr:colOff>
      <xdr:row>2</xdr:row>
      <xdr:rowOff>158750</xdr:rowOff>
    </xdr:from>
    <xdr:to>
      <xdr:col>6</xdr:col>
      <xdr:colOff>359831</xdr:colOff>
      <xdr:row>7</xdr:row>
      <xdr:rowOff>10583</xdr:rowOff>
    </xdr:to>
    <xdr:sp macro="" textlink="AC1">
      <xdr:nvSpPr>
        <xdr:cNvPr id="62" name="Rectangle: Rounded Corners 61">
          <a:extLst>
            <a:ext uri="{FF2B5EF4-FFF2-40B4-BE49-F238E27FC236}">
              <a16:creationId xmlns:a16="http://schemas.microsoft.com/office/drawing/2014/main" id="{4CE54E47-C67A-9323-F464-19EF52010FF6}"/>
            </a:ext>
          </a:extLst>
        </xdr:cNvPr>
        <xdr:cNvSpPr/>
      </xdr:nvSpPr>
      <xdr:spPr>
        <a:xfrm>
          <a:off x="2931581" y="1248833"/>
          <a:ext cx="1111250" cy="751417"/>
        </a:xfrm>
        <a:prstGeom prst="roundRect">
          <a:avLst/>
        </a:prstGeom>
        <a:noFill/>
        <a:ln>
          <a:solidFill>
            <a:srgbClr val="7266E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0C3B953-16AB-4597-9B44-200F3968EF2F}" type="TxLink">
            <a:rPr lang="en-US" sz="1200" b="0" i="0" u="none" strike="noStrike">
              <a:solidFill>
                <a:schemeClr val="bg1"/>
              </a:solidFill>
              <a:latin typeface="Aptos Narrow"/>
            </a:rPr>
            <a:t>Last Updated:
06-Jun-2026 02:29 PM</a:t>
          </a:fld>
          <a:endParaRPr lang="en-US" sz="1200">
            <a:solidFill>
              <a:schemeClr val="bg1"/>
            </a:solidFill>
          </a:endParaRPr>
        </a:p>
      </xdr:txBody>
    </xdr:sp>
    <xdr:clientData/>
  </xdr:twoCellAnchor>
  <xdr:twoCellAnchor>
    <xdr:from>
      <xdr:col>27</xdr:col>
      <xdr:colOff>391583</xdr:colOff>
      <xdr:row>0</xdr:row>
      <xdr:rowOff>0</xdr:rowOff>
    </xdr:from>
    <xdr:to>
      <xdr:col>31</xdr:col>
      <xdr:colOff>264583</xdr:colOff>
      <xdr:row>6</xdr:row>
      <xdr:rowOff>31750</xdr:rowOff>
    </xdr:to>
    <xdr:sp macro="" textlink="">
      <xdr:nvSpPr>
        <xdr:cNvPr id="69" name="Rectangle: Rounded Corners 68">
          <a:extLst>
            <a:ext uri="{FF2B5EF4-FFF2-40B4-BE49-F238E27FC236}">
              <a16:creationId xmlns:a16="http://schemas.microsoft.com/office/drawing/2014/main" id="{D82D9515-A045-7D31-FB3A-8795D3EC5417}"/>
            </a:ext>
          </a:extLst>
        </xdr:cNvPr>
        <xdr:cNvSpPr/>
      </xdr:nvSpPr>
      <xdr:spPr>
        <a:xfrm>
          <a:off x="16965083" y="0"/>
          <a:ext cx="2328333" cy="18415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0.55287</cdr:x>
      <cdr:y>0.04173</cdr:y>
    </cdr:from>
    <cdr:to>
      <cdr:x>0.84184</cdr:x>
      <cdr:y>0.33399</cdr:y>
    </cdr:to>
    <cdr:pic>
      <cdr:nvPicPr>
        <cdr:cNvPr id="3" name="Graphic 2" descr="Man with solid fill">
          <a:extLst xmlns:a="http://schemas.openxmlformats.org/drawingml/2006/main">
            <a:ext uri="{FF2B5EF4-FFF2-40B4-BE49-F238E27FC236}">
              <a16:creationId xmlns:a16="http://schemas.microsoft.com/office/drawing/2014/main" id="{BE50737F-4915-FA1E-2DB4-DF0472499B9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923822" y="69949"/>
          <a:ext cx="1005523" cy="489945"/>
        </a:xfrm>
        <a:prstGeom xmlns:a="http://schemas.openxmlformats.org/drawingml/2006/main" prst="rect">
          <a:avLst/>
        </a:prstGeom>
      </cdr:spPr>
    </cdr:pic>
  </cdr:relSizeAnchor>
  <cdr:relSizeAnchor xmlns:cdr="http://schemas.openxmlformats.org/drawingml/2006/chartDrawing">
    <cdr:from>
      <cdr:x>0.66865</cdr:x>
      <cdr:y>0.80234</cdr:y>
    </cdr:from>
    <cdr:to>
      <cdr:x>0.8873</cdr:x>
      <cdr:y>0.97896</cdr:y>
    </cdr:to>
    <cdr:sp macro="" textlink="">
      <cdr:nvSpPr>
        <cdr:cNvPr id="4" name="TextBox 3">
          <a:extLst xmlns:a="http://schemas.openxmlformats.org/drawingml/2006/main">
            <a:ext uri="{FF2B5EF4-FFF2-40B4-BE49-F238E27FC236}">
              <a16:creationId xmlns:a16="http://schemas.microsoft.com/office/drawing/2014/main" id="{B30901B6-3D8C-63A7-2286-9552FB7464E1}"/>
            </a:ext>
          </a:extLst>
        </cdr:cNvPr>
        <cdr:cNvSpPr txBox="1"/>
      </cdr:nvSpPr>
      <cdr:spPr>
        <a:xfrm xmlns:a="http://schemas.openxmlformats.org/drawingml/2006/main">
          <a:off x="2286787" y="1439335"/>
          <a:ext cx="747783" cy="316845"/>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r>
            <a:rPr lang="en-US" sz="1200" kern="1200">
              <a:solidFill>
                <a:schemeClr val="bg1"/>
              </a:solidFill>
            </a:rPr>
            <a:t>Female</a:t>
          </a:r>
          <a:endParaRPr lang="en-US" sz="1000" kern="1200">
            <a:solidFill>
              <a:schemeClr val="bg1"/>
            </a:solidFill>
          </a:endParaRPr>
        </a:p>
        <a:p xmlns:a="http://schemas.openxmlformats.org/drawingml/2006/main">
          <a:endParaRPr lang="en-US" sz="900" kern="1200"/>
        </a:p>
      </cdr:txBody>
    </cdr:sp>
  </cdr:relSizeAnchor>
  <cdr:relSizeAnchor xmlns:cdr="http://schemas.openxmlformats.org/drawingml/2006/chartDrawing">
    <cdr:from>
      <cdr:x>0.86817</cdr:x>
      <cdr:y>0.12271</cdr:y>
    </cdr:from>
    <cdr:to>
      <cdr:x>0.97106</cdr:x>
      <cdr:y>0.27655</cdr:y>
    </cdr:to>
    <cdr:sp macro="" textlink="">
      <cdr:nvSpPr>
        <cdr:cNvPr id="5" name="TextBox 4">
          <a:extLst xmlns:a="http://schemas.openxmlformats.org/drawingml/2006/main">
            <a:ext uri="{FF2B5EF4-FFF2-40B4-BE49-F238E27FC236}">
              <a16:creationId xmlns:a16="http://schemas.microsoft.com/office/drawing/2014/main" id="{C1DA5E5E-9413-BF89-6D3A-2EFBD1F21D27}"/>
            </a:ext>
          </a:extLst>
        </cdr:cNvPr>
        <cdr:cNvSpPr txBox="1"/>
      </cdr:nvSpPr>
      <cdr:spPr>
        <a:xfrm xmlns:a="http://schemas.openxmlformats.org/drawingml/2006/main">
          <a:off x="2420471" y="264572"/>
          <a:ext cx="286870" cy="33169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0.79939</cdr:x>
      <cdr:y>0.63935</cdr:y>
    </cdr:from>
    <cdr:to>
      <cdr:x>0.93921</cdr:x>
      <cdr:y>0.77656</cdr:y>
    </cdr:to>
    <cdr:sp macro="" textlink="Pivot!$L$15">
      <cdr:nvSpPr>
        <cdr:cNvPr id="7" name="Rectangle 6">
          <a:extLst xmlns:a="http://schemas.openxmlformats.org/drawingml/2006/main">
            <a:ext uri="{FF2B5EF4-FFF2-40B4-BE49-F238E27FC236}">
              <a16:creationId xmlns:a16="http://schemas.microsoft.com/office/drawing/2014/main" id="{807A8E4E-F5C1-69E5-0E3A-0EBACC7483D8}"/>
            </a:ext>
          </a:extLst>
        </cdr:cNvPr>
        <cdr:cNvSpPr/>
      </cdr:nvSpPr>
      <cdr:spPr>
        <a:xfrm xmlns:a="http://schemas.openxmlformats.org/drawingml/2006/main">
          <a:off x="2357718" y="1094733"/>
          <a:ext cx="412377" cy="234934"/>
        </a:xfrm>
        <a:prstGeom xmlns:a="http://schemas.openxmlformats.org/drawingml/2006/main" prst="rect">
          <a:avLst/>
        </a:prstGeom>
        <a:solidFill xmlns:a="http://schemas.openxmlformats.org/drawingml/2006/main">
          <a:srgbClr val="FF00FF"/>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fld id="{6EDF951F-E8B7-4016-84FF-E139F2802986}" type="TxLink">
            <a:rPr lang="en-US" sz="1100" b="0" i="0" u="none" strike="noStrike" kern="1200">
              <a:solidFill>
                <a:schemeClr val="bg1"/>
              </a:solidFill>
              <a:latin typeface="Aptos Narrow"/>
            </a:rPr>
            <a:pPr algn="ctr"/>
            <a:t>45</a:t>
          </a:fld>
          <a:endParaRPr lang="en-US" kern="1200">
            <a:solidFill>
              <a:schemeClr val="bg1"/>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79.603684374997" createdVersion="8" refreshedVersion="8" minRefreshableVersion="3" recordCount="171" xr:uid="{AFEE850C-3BF7-49B1-AF1D-E9DC35F1A05C}">
  <cacheSource type="worksheet">
    <worksheetSource name="table2"/>
  </cacheSource>
  <cacheFields count="16">
    <cacheField name="Emp Status" numFmtId="0">
      <sharedItems count="3">
        <s v="On-Board"/>
        <s v="Attrition"/>
        <s v="Transfer"/>
      </sharedItems>
    </cacheField>
    <cacheField name="Movement" numFmtId="0">
      <sharedItems containsBlank="1"/>
    </cacheField>
    <cacheField name="Emp Id" numFmtId="0">
      <sharedItems containsMixedTypes="1" containsNumber="1" containsInteger="1" minValue="100957" maxValue="198396"/>
    </cacheField>
    <cacheField name="Name" numFmtId="0">
      <sharedItems/>
    </cacheField>
    <cacheField name="Date of Joining" numFmtId="164">
      <sharedItems containsSemiMixedTypes="0" containsNonDate="0" containsDate="1" containsString="0" minDate="2020-02-06T00:00:00" maxDate="2025-07-20T00:00:00"/>
    </cacheField>
    <cacheField name="Data of Relieving" numFmtId="164">
      <sharedItems containsNonDate="0" containsDate="1" containsString="0" containsBlank="1" minDate="2020-12-18T00:00:00" maxDate="2024-09-30T00:00:00"/>
    </cacheField>
    <cacheField name="Reporting Manager" numFmtId="0">
      <sharedItems count="7">
        <s v="Roberta Moyer"/>
        <s v="Ryan Simmons"/>
        <s v="Darryl Leon"/>
        <s v="Geneva Hardy"/>
        <s v="Janelle Wiley"/>
        <s v="Alejandra Mack"/>
        <s v="Jefferson Perry"/>
      </sharedItems>
    </cacheField>
    <cacheField name="Emp Type" numFmtId="0">
      <sharedItems count="2">
        <s v="Contract"/>
        <s v="Permanent"/>
      </sharedItems>
    </cacheField>
    <cacheField name="Category" numFmtId="0">
      <sharedItems count="2">
        <s v="Male"/>
        <s v="Female"/>
      </sharedItems>
    </cacheField>
    <cacheField name="Date of Birth" numFmtId="165">
      <sharedItems containsSemiMixedTypes="0" containsNonDate="0" containsDate="1" containsString="0" minDate="1982-01-03T00:00:00" maxDate="2023-08-07T00:00:00"/>
    </cacheField>
    <cacheField name="Marital status" numFmtId="165">
      <sharedItems/>
    </cacheField>
    <cacheField name="Grade" numFmtId="0">
      <sharedItems count="4">
        <s v="Contract"/>
        <s v="Trainees"/>
        <s v="Management"/>
        <s v="Professional"/>
      </sharedItems>
    </cacheField>
    <cacheField name="Department" numFmtId="0">
      <sharedItems count="7">
        <s v="Operations"/>
        <s v="Accounting"/>
        <s v="Legal"/>
        <s v="Marketing"/>
        <s v="Finance"/>
        <s v="HR"/>
        <s v="Sales"/>
      </sharedItems>
    </cacheField>
    <cacheField name="Total Experience" numFmtId="0">
      <sharedItems containsSemiMixedTypes="0" containsString="0" containsNumber="1" minValue="0" maxValue="19"/>
    </cacheField>
    <cacheField name="Year" numFmtId="0">
      <sharedItems containsSemiMixedTypes="0" containsString="0" containsNumber="1" containsInteger="1" minValue="2020" maxValue="2025" count="6">
        <n v="2020"/>
        <n v="2021"/>
        <n v="2022"/>
        <n v="2023"/>
        <n v="2024"/>
        <n v="2025"/>
      </sharedItems>
    </cacheField>
    <cacheField name="Stability" numFmtId="0">
      <sharedItems count="6">
        <s v="5+ years"/>
        <s v="4+ years"/>
        <s v="3+ years"/>
        <s v="2+ years"/>
        <s v="1+ years"/>
        <s v="&lt;1 year"/>
      </sharedItems>
    </cacheField>
  </cacheFields>
  <extLst>
    <ext xmlns:x14="http://schemas.microsoft.com/office/spreadsheetml/2009/9/main" uri="{725AE2AE-9491-48be-B2B4-4EB974FC3084}">
      <x14:pivotCacheDefinition pivotCacheId="18739159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
  <r>
    <x v="0"/>
    <s v="IJP"/>
    <s v="CT18807"/>
    <s v="Adrian Odonnell"/>
    <d v="2020-04-29T00:00:00"/>
    <m/>
    <x v="0"/>
    <x v="0"/>
    <x v="0"/>
    <d v="2021-07-13T00:00:00"/>
    <s v="Single"/>
    <x v="0"/>
    <x v="0"/>
    <n v="0"/>
    <x v="0"/>
    <x v="0"/>
  </r>
  <r>
    <x v="1"/>
    <m/>
    <s v="CT12674"/>
    <s v="Marina Velazquez"/>
    <d v="2020-09-01T00:00:00"/>
    <d v="2020-12-18T00:00:00"/>
    <x v="0"/>
    <x v="0"/>
    <x v="0"/>
    <d v="2021-10-03T00:00:00"/>
    <s v="Married"/>
    <x v="1"/>
    <x v="1"/>
    <n v="6.5"/>
    <x v="0"/>
    <x v="0"/>
  </r>
  <r>
    <x v="0"/>
    <m/>
    <s v="CT11735"/>
    <s v="Regina Schaefer"/>
    <d v="2021-01-01T00:00:00"/>
    <m/>
    <x v="0"/>
    <x v="0"/>
    <x v="0"/>
    <d v="2021-02-09T00:00:00"/>
    <s v="Single"/>
    <x v="0"/>
    <x v="0"/>
    <n v="4.8"/>
    <x v="1"/>
    <x v="0"/>
  </r>
  <r>
    <x v="0"/>
    <m/>
    <s v="CT10131"/>
    <s v="Donna Sparks"/>
    <d v="2021-02-09T00:00:00"/>
    <m/>
    <x v="0"/>
    <x v="0"/>
    <x v="0"/>
    <d v="2021-03-14T00:00:00"/>
    <s v="Single"/>
    <x v="0"/>
    <x v="2"/>
    <n v="14"/>
    <x v="1"/>
    <x v="0"/>
  </r>
  <r>
    <x v="1"/>
    <m/>
    <s v="CT16953"/>
    <s v="Sal Glass"/>
    <d v="2021-09-30T00:00:00"/>
    <d v="2022-09-30T00:00:00"/>
    <x v="1"/>
    <x v="0"/>
    <x v="1"/>
    <d v="2021-04-11T00:00:00"/>
    <s v="Single"/>
    <x v="0"/>
    <x v="3"/>
    <n v="0"/>
    <x v="1"/>
    <x v="1"/>
  </r>
  <r>
    <x v="1"/>
    <m/>
    <s v="CT11213"/>
    <s v="Malik Schneider"/>
    <d v="2022-04-04T00:00:00"/>
    <d v="2022-07-16T00:00:00"/>
    <x v="2"/>
    <x v="0"/>
    <x v="0"/>
    <d v="2021-08-23T00:00:00"/>
    <s v="Single"/>
    <x v="0"/>
    <x v="4"/>
    <n v="2"/>
    <x v="2"/>
    <x v="1"/>
  </r>
  <r>
    <x v="1"/>
    <m/>
    <s v="CT17933"/>
    <s v="Fanny Hampton"/>
    <d v="2022-06-03T00:00:00"/>
    <d v="2023-01-25T00:00:00"/>
    <x v="1"/>
    <x v="0"/>
    <x v="0"/>
    <d v="2021-01-30T00:00:00"/>
    <s v="Single"/>
    <x v="0"/>
    <x v="3"/>
    <n v="2.8"/>
    <x v="2"/>
    <x v="1"/>
  </r>
  <r>
    <x v="1"/>
    <m/>
    <s v="CT17253"/>
    <s v="Edison York"/>
    <d v="2022-06-09T00:00:00"/>
    <d v="2023-08-11T00:00:00"/>
    <x v="1"/>
    <x v="0"/>
    <x v="0"/>
    <d v="2021-10-28T00:00:00"/>
    <s v="Single"/>
    <x v="0"/>
    <x v="5"/>
    <n v="0"/>
    <x v="2"/>
    <x v="2"/>
  </r>
  <r>
    <x v="1"/>
    <m/>
    <s v="CT14693"/>
    <s v="Geraldo Pugh"/>
    <d v="2022-07-07T00:00:00"/>
    <d v="2023-08-30T00:00:00"/>
    <x v="3"/>
    <x v="0"/>
    <x v="0"/>
    <d v="2021-12-26T00:00:00"/>
    <s v="Single"/>
    <x v="0"/>
    <x v="5"/>
    <n v="3"/>
    <x v="2"/>
    <x v="2"/>
  </r>
  <r>
    <x v="1"/>
    <m/>
    <s v="CT11465"/>
    <s v="Ellis Best"/>
    <d v="2022-08-04T00:00:00"/>
    <d v="2023-05-13T00:00:00"/>
    <x v="1"/>
    <x v="0"/>
    <x v="0"/>
    <d v="2021-04-07T00:00:00"/>
    <s v="Single"/>
    <x v="0"/>
    <x v="2"/>
    <n v="5.9"/>
    <x v="2"/>
    <x v="2"/>
  </r>
  <r>
    <x v="0"/>
    <m/>
    <s v="CT12948"/>
    <s v="Olen Walter"/>
    <d v="2022-09-01T00:00:00"/>
    <m/>
    <x v="4"/>
    <x v="0"/>
    <x v="0"/>
    <d v="2021-10-18T00:00:00"/>
    <s v="Married"/>
    <x v="0"/>
    <x v="4"/>
    <n v="10"/>
    <x v="2"/>
    <x v="2"/>
  </r>
  <r>
    <x v="1"/>
    <m/>
    <s v="CT11145"/>
    <s v="Mckinley Baird"/>
    <d v="2022-09-08T00:00:00"/>
    <d v="2023-12-30T00:00:00"/>
    <x v="4"/>
    <x v="0"/>
    <x v="1"/>
    <d v="2021-04-26T00:00:00"/>
    <s v="Single"/>
    <x v="0"/>
    <x v="3"/>
    <n v="1"/>
    <x v="2"/>
    <x v="2"/>
  </r>
  <r>
    <x v="0"/>
    <m/>
    <s v="CT18269"/>
    <s v="Maura Huynh"/>
    <d v="2022-11-08T00:00:00"/>
    <m/>
    <x v="4"/>
    <x v="0"/>
    <x v="0"/>
    <d v="2021-10-27T00:00:00"/>
    <s v="Married"/>
    <x v="0"/>
    <x v="6"/>
    <n v="10"/>
    <x v="2"/>
    <x v="2"/>
  </r>
  <r>
    <x v="1"/>
    <m/>
    <s v="CT13931"/>
    <s v="Buster Joyce"/>
    <d v="2023-01-21T00:00:00"/>
    <d v="2023-11-21T00:00:00"/>
    <x v="5"/>
    <x v="0"/>
    <x v="0"/>
    <d v="2021-09-06T00:00:00"/>
    <s v="Single"/>
    <x v="0"/>
    <x v="3"/>
    <n v="0"/>
    <x v="3"/>
    <x v="2"/>
  </r>
  <r>
    <x v="1"/>
    <m/>
    <s v="CT15252"/>
    <s v="Rosanna Bauer"/>
    <d v="2023-06-06T00:00:00"/>
    <d v="2024-05-03T00:00:00"/>
    <x v="5"/>
    <x v="0"/>
    <x v="1"/>
    <d v="2022-02-28T00:00:00"/>
    <s v="Single"/>
    <x v="0"/>
    <x v="5"/>
    <n v="0.1"/>
    <x v="3"/>
    <x v="2"/>
  </r>
  <r>
    <x v="0"/>
    <m/>
    <s v="CT13664"/>
    <s v="Marion Harmon"/>
    <d v="2023-10-19T00:00:00"/>
    <m/>
    <x v="5"/>
    <x v="0"/>
    <x v="1"/>
    <d v="2022-09-26T00:00:00"/>
    <s v="Single"/>
    <x v="0"/>
    <x v="5"/>
    <n v="0"/>
    <x v="3"/>
    <x v="3"/>
  </r>
  <r>
    <x v="0"/>
    <m/>
    <s v="CT10043"/>
    <s v="Shawn Ross"/>
    <d v="2023-12-14T00:00:00"/>
    <m/>
    <x v="5"/>
    <x v="0"/>
    <x v="1"/>
    <d v="2022-11-12T00:00:00"/>
    <s v="Single"/>
    <x v="0"/>
    <x v="2"/>
    <n v="4"/>
    <x v="3"/>
    <x v="3"/>
  </r>
  <r>
    <x v="0"/>
    <m/>
    <s v="CT16547"/>
    <s v="Houston Wilson"/>
    <d v="2024-02-06T00:00:00"/>
    <m/>
    <x v="0"/>
    <x v="0"/>
    <x v="0"/>
    <d v="2021-12-28T00:00:00"/>
    <s v="Single"/>
    <x v="0"/>
    <x v="5"/>
    <n v="0"/>
    <x v="4"/>
    <x v="3"/>
  </r>
  <r>
    <x v="0"/>
    <m/>
    <s v="CT11188"/>
    <s v="Maricela Gates"/>
    <d v="2024-03-27T00:00:00"/>
    <m/>
    <x v="5"/>
    <x v="0"/>
    <x v="0"/>
    <d v="2003-03-06T00:00:00"/>
    <s v="Married"/>
    <x v="0"/>
    <x v="3"/>
    <n v="10"/>
    <x v="4"/>
    <x v="3"/>
  </r>
  <r>
    <x v="0"/>
    <m/>
    <s v="CT14537"/>
    <s v="Fletcher Tate"/>
    <d v="2024-06-01T00:00:00"/>
    <m/>
    <x v="5"/>
    <x v="0"/>
    <x v="1"/>
    <d v="2022-12-03T00:00:00"/>
    <s v="Married"/>
    <x v="0"/>
    <x v="2"/>
    <n v="4"/>
    <x v="4"/>
    <x v="3"/>
  </r>
  <r>
    <x v="0"/>
    <m/>
    <s v="CT14690"/>
    <s v="Emily Davis"/>
    <d v="2025-01-05T00:00:00"/>
    <m/>
    <x v="6"/>
    <x v="0"/>
    <x v="1"/>
    <d v="2021-05-22T00:00:00"/>
    <s v="Married"/>
    <x v="0"/>
    <x v="4"/>
    <n v="4.8"/>
    <x v="5"/>
    <x v="4"/>
  </r>
  <r>
    <x v="0"/>
    <m/>
    <s v="CT16195"/>
    <s v="Penelope Jordan"/>
    <d v="2025-01-14T00:00:00"/>
    <m/>
    <x v="6"/>
    <x v="0"/>
    <x v="0"/>
    <d v="2021-02-09T00:00:00"/>
    <s v="Single"/>
    <x v="0"/>
    <x v="0"/>
    <n v="9"/>
    <x v="5"/>
    <x v="4"/>
  </r>
  <r>
    <x v="0"/>
    <m/>
    <s v="CT16735"/>
    <s v="Alfredo Mcclain"/>
    <d v="2025-04-28T00:00:00"/>
    <m/>
    <x v="1"/>
    <x v="0"/>
    <x v="0"/>
    <d v="2021-12-06T00:00:00"/>
    <s v="Married"/>
    <x v="0"/>
    <x v="3"/>
    <n v="8"/>
    <x v="5"/>
    <x v="4"/>
  </r>
  <r>
    <x v="0"/>
    <s v="IJP"/>
    <n v="107224"/>
    <s v="Preston Case"/>
    <d v="2020-02-06T00:00:00"/>
    <m/>
    <x v="0"/>
    <x v="1"/>
    <x v="0"/>
    <d v="2021-08-25T00:00:00"/>
    <s v="Single"/>
    <x v="1"/>
    <x v="0"/>
    <n v="13"/>
    <x v="0"/>
    <x v="0"/>
  </r>
  <r>
    <x v="1"/>
    <s v="IJP"/>
    <n v="148467"/>
    <s v="Branden Kaiser"/>
    <d v="2020-02-08T00:00:00"/>
    <d v="2024-06-30T00:00:00"/>
    <x v="6"/>
    <x v="1"/>
    <x v="1"/>
    <d v="2021-10-25T00:00:00"/>
    <s v="Single"/>
    <x v="1"/>
    <x v="1"/>
    <n v="5"/>
    <x v="0"/>
    <x v="0"/>
  </r>
  <r>
    <x v="1"/>
    <m/>
    <n v="114416"/>
    <s v="Julia Bell"/>
    <d v="2020-02-13T00:00:00"/>
    <d v="2024-01-09T00:00:00"/>
    <x v="5"/>
    <x v="1"/>
    <x v="0"/>
    <d v="2021-11-24T00:00:00"/>
    <s v="Married"/>
    <x v="2"/>
    <x v="4"/>
    <n v="8"/>
    <x v="0"/>
    <x v="0"/>
  </r>
  <r>
    <x v="0"/>
    <m/>
    <n v="189095"/>
    <s v="Sammy Hancock"/>
    <d v="2020-02-26T00:00:00"/>
    <m/>
    <x v="5"/>
    <x v="1"/>
    <x v="0"/>
    <d v="2021-11-04T00:00:00"/>
    <s v="Single"/>
    <x v="2"/>
    <x v="0"/>
    <n v="17"/>
    <x v="0"/>
    <x v="0"/>
  </r>
  <r>
    <x v="1"/>
    <m/>
    <n v="123874"/>
    <s v="Mabel Cuevas"/>
    <d v="2020-03-11T00:00:00"/>
    <d v="2021-12-30T00:00:00"/>
    <x v="5"/>
    <x v="1"/>
    <x v="0"/>
    <d v="2021-12-28T00:00:00"/>
    <s v="Married"/>
    <x v="1"/>
    <x v="1"/>
    <n v="14"/>
    <x v="0"/>
    <x v="0"/>
  </r>
  <r>
    <x v="0"/>
    <s v="IJP"/>
    <n v="147637"/>
    <s v="Janelle Wiley"/>
    <d v="2020-03-26T00:00:00"/>
    <m/>
    <x v="0"/>
    <x v="1"/>
    <x v="0"/>
    <d v="2021-04-28T00:00:00"/>
    <s v="Single"/>
    <x v="1"/>
    <x v="4"/>
    <n v="14"/>
    <x v="0"/>
    <x v="0"/>
  </r>
  <r>
    <x v="0"/>
    <s v="IJP"/>
    <n v="183900"/>
    <s v="Norris Madden"/>
    <d v="2020-04-29T00:00:00"/>
    <m/>
    <x v="5"/>
    <x v="1"/>
    <x v="0"/>
    <d v="2021-04-23T00:00:00"/>
    <s v="Single"/>
    <x v="2"/>
    <x v="1"/>
    <n v="13"/>
    <x v="0"/>
    <x v="0"/>
  </r>
  <r>
    <x v="0"/>
    <m/>
    <n v="110700"/>
    <s v="Vincenzo Mcdowell"/>
    <d v="2020-05-20T00:00:00"/>
    <m/>
    <x v="5"/>
    <x v="1"/>
    <x v="0"/>
    <d v="2021-04-21T00:00:00"/>
    <s v="Single"/>
    <x v="2"/>
    <x v="4"/>
    <n v="13"/>
    <x v="0"/>
    <x v="0"/>
  </r>
  <r>
    <x v="0"/>
    <s v="IJP"/>
    <n v="188035"/>
    <s v="Chris Mcbride"/>
    <d v="2020-06-12T00:00:00"/>
    <m/>
    <x v="4"/>
    <x v="1"/>
    <x v="0"/>
    <d v="2022-08-08T00:00:00"/>
    <s v="Single"/>
    <x v="1"/>
    <x v="0"/>
    <n v="7"/>
    <x v="0"/>
    <x v="0"/>
  </r>
  <r>
    <x v="0"/>
    <m/>
    <n v="131049"/>
    <s v="Wesley Berger"/>
    <d v="2020-06-18T00:00:00"/>
    <m/>
    <x v="5"/>
    <x v="1"/>
    <x v="0"/>
    <d v="2021-12-31T00:00:00"/>
    <s v="Single"/>
    <x v="2"/>
    <x v="0"/>
    <n v="13"/>
    <x v="0"/>
    <x v="0"/>
  </r>
  <r>
    <x v="1"/>
    <m/>
    <n v="180582"/>
    <s v="Bart Sims"/>
    <d v="2020-06-26T00:00:00"/>
    <d v="2021-06-30T00:00:00"/>
    <x v="4"/>
    <x v="1"/>
    <x v="1"/>
    <d v="2021-05-27T00:00:00"/>
    <s v="Single"/>
    <x v="3"/>
    <x v="1"/>
    <n v="0"/>
    <x v="0"/>
    <x v="0"/>
  </r>
  <r>
    <x v="0"/>
    <m/>
    <n v="126718"/>
    <s v="Tricia Arroyo"/>
    <d v="2020-07-08T00:00:00"/>
    <m/>
    <x v="5"/>
    <x v="1"/>
    <x v="0"/>
    <d v="2021-10-03T00:00:00"/>
    <s v="Single"/>
    <x v="1"/>
    <x v="1"/>
    <n v="6.5"/>
    <x v="0"/>
    <x v="0"/>
  </r>
  <r>
    <x v="0"/>
    <m/>
    <n v="192425"/>
    <s v="Kennith Barber"/>
    <d v="2020-07-24T00:00:00"/>
    <m/>
    <x v="0"/>
    <x v="1"/>
    <x v="0"/>
    <d v="2021-05-22T00:00:00"/>
    <s v="Single"/>
    <x v="1"/>
    <x v="4"/>
    <n v="8"/>
    <x v="0"/>
    <x v="0"/>
  </r>
  <r>
    <x v="0"/>
    <m/>
    <n v="174008"/>
    <s v="Alonzo Harrison"/>
    <d v="2020-07-31T00:00:00"/>
    <m/>
    <x v="4"/>
    <x v="1"/>
    <x v="1"/>
    <d v="2021-12-10T00:00:00"/>
    <s v="Single"/>
    <x v="1"/>
    <x v="1"/>
    <n v="12"/>
    <x v="0"/>
    <x v="0"/>
  </r>
  <r>
    <x v="1"/>
    <m/>
    <n v="129735"/>
    <s v="Ryan Simmons"/>
    <d v="2020-08-14T00:00:00"/>
    <d v="2022-06-29T00:00:00"/>
    <x v="5"/>
    <x v="1"/>
    <x v="0"/>
    <d v="2021-01-15T00:00:00"/>
    <s v="Single"/>
    <x v="1"/>
    <x v="0"/>
    <n v="5"/>
    <x v="0"/>
    <x v="0"/>
  </r>
  <r>
    <x v="1"/>
    <m/>
    <n v="117328"/>
    <s v="Kirk Wagner"/>
    <d v="2020-08-26T00:00:00"/>
    <d v="2022-04-30T00:00:00"/>
    <x v="5"/>
    <x v="1"/>
    <x v="0"/>
    <d v="2021-02-09T00:00:00"/>
    <s v="Married"/>
    <x v="1"/>
    <x v="0"/>
    <n v="4.8"/>
    <x v="0"/>
    <x v="0"/>
  </r>
  <r>
    <x v="0"/>
    <m/>
    <n v="110646"/>
    <s v="Zackary Tucker"/>
    <d v="2020-09-01T00:00:00"/>
    <m/>
    <x v="3"/>
    <x v="1"/>
    <x v="0"/>
    <d v="2021-01-20T00:00:00"/>
    <s v="Married"/>
    <x v="1"/>
    <x v="4"/>
    <n v="9"/>
    <x v="0"/>
    <x v="0"/>
  </r>
  <r>
    <x v="0"/>
    <m/>
    <n v="114446"/>
    <s v="Roberto Ford"/>
    <d v="2020-09-01T00:00:00"/>
    <m/>
    <x v="6"/>
    <x v="1"/>
    <x v="0"/>
    <d v="2021-11-24T00:00:00"/>
    <s v="Married"/>
    <x v="2"/>
    <x v="4"/>
    <n v="8"/>
    <x v="0"/>
    <x v="0"/>
  </r>
  <r>
    <x v="0"/>
    <m/>
    <n v="189125"/>
    <s v="Sadie Mcmahon"/>
    <d v="2020-09-01T00:00:00"/>
    <m/>
    <x v="1"/>
    <x v="1"/>
    <x v="0"/>
    <d v="2021-11-04T00:00:00"/>
    <s v="Married"/>
    <x v="2"/>
    <x v="0"/>
    <n v="17"/>
    <x v="0"/>
    <x v="0"/>
  </r>
  <r>
    <x v="0"/>
    <s v="IJP"/>
    <n v="183930"/>
    <s v="Darla Parks"/>
    <d v="2020-09-01T00:00:00"/>
    <m/>
    <x v="1"/>
    <x v="1"/>
    <x v="0"/>
    <d v="2021-04-23T00:00:00"/>
    <s v="Married"/>
    <x v="2"/>
    <x v="1"/>
    <n v="13"/>
    <x v="0"/>
    <x v="0"/>
  </r>
  <r>
    <x v="0"/>
    <m/>
    <n v="110730"/>
    <s v="Darryl Leon"/>
    <d v="2020-09-01T00:00:00"/>
    <m/>
    <x v="2"/>
    <x v="1"/>
    <x v="0"/>
    <d v="2021-04-21T00:00:00"/>
    <s v="Single"/>
    <x v="2"/>
    <x v="4"/>
    <n v="13"/>
    <x v="0"/>
    <x v="0"/>
  </r>
  <r>
    <x v="0"/>
    <m/>
    <n v="131079"/>
    <s v="Letitia Church"/>
    <d v="2020-09-01T00:00:00"/>
    <m/>
    <x v="0"/>
    <x v="1"/>
    <x v="0"/>
    <d v="2021-12-31T00:00:00"/>
    <s v="Single"/>
    <x v="2"/>
    <x v="0"/>
    <n v="13"/>
    <x v="0"/>
    <x v="0"/>
  </r>
  <r>
    <x v="0"/>
    <m/>
    <n v="180612"/>
    <s v="Collin Paul"/>
    <d v="2020-09-01T00:00:00"/>
    <m/>
    <x v="4"/>
    <x v="1"/>
    <x v="1"/>
    <d v="2021-05-27T00:00:00"/>
    <s v="Single"/>
    <x v="3"/>
    <x v="1"/>
    <n v="0"/>
    <x v="0"/>
    <x v="0"/>
  </r>
  <r>
    <x v="1"/>
    <m/>
    <n v="154702"/>
    <s v="Frances Leblanc"/>
    <d v="2020-09-09T00:00:00"/>
    <d v="2024-01-20T00:00:00"/>
    <x v="5"/>
    <x v="1"/>
    <x v="1"/>
    <d v="2021-11-07T00:00:00"/>
    <s v="Married"/>
    <x v="3"/>
    <x v="0"/>
    <n v="0"/>
    <x v="0"/>
    <x v="0"/>
  </r>
  <r>
    <x v="0"/>
    <m/>
    <n v="101286"/>
    <s v="Alexis Conway"/>
    <d v="2020-09-09T00:00:00"/>
    <m/>
    <x v="5"/>
    <x v="1"/>
    <x v="0"/>
    <d v="2021-03-14T00:00:00"/>
    <s v="Single"/>
    <x v="2"/>
    <x v="2"/>
    <n v="14"/>
    <x v="0"/>
    <x v="0"/>
  </r>
  <r>
    <x v="1"/>
    <m/>
    <n v="137383"/>
    <s v="Roberta Moyer"/>
    <d v="2020-09-16T00:00:00"/>
    <d v="2021-03-03T00:00:00"/>
    <x v="3"/>
    <x v="1"/>
    <x v="0"/>
    <d v="2021-01-24T00:00:00"/>
    <s v="Single"/>
    <x v="2"/>
    <x v="0"/>
    <n v="9"/>
    <x v="0"/>
    <x v="0"/>
  </r>
  <r>
    <x v="1"/>
    <m/>
    <n v="185704"/>
    <s v="Alejandra Mack"/>
    <d v="2020-09-16T00:00:00"/>
    <d v="2021-07-18T00:00:00"/>
    <x v="4"/>
    <x v="1"/>
    <x v="0"/>
    <d v="2021-12-06T00:00:00"/>
    <s v="Single"/>
    <x v="3"/>
    <x v="5"/>
    <n v="0"/>
    <x v="0"/>
    <x v="0"/>
  </r>
  <r>
    <x v="1"/>
    <m/>
    <n v="151727"/>
    <s v="Chi Preston"/>
    <d v="2020-09-16T00:00:00"/>
    <d v="2023-06-29T00:00:00"/>
    <x v="4"/>
    <x v="1"/>
    <x v="0"/>
    <d v="2021-02-03T00:00:00"/>
    <s v="Single"/>
    <x v="3"/>
    <x v="5"/>
    <n v="0"/>
    <x v="0"/>
    <x v="0"/>
  </r>
  <r>
    <x v="1"/>
    <m/>
    <n v="135167"/>
    <s v="Randolph Reilly"/>
    <d v="2020-09-16T00:00:00"/>
    <d v="2023-09-26T00:00:00"/>
    <x v="4"/>
    <x v="1"/>
    <x v="0"/>
    <d v="2021-03-28T00:00:00"/>
    <s v="Single"/>
    <x v="3"/>
    <x v="5"/>
    <n v="0"/>
    <x v="0"/>
    <x v="0"/>
  </r>
  <r>
    <x v="1"/>
    <m/>
    <n v="100971"/>
    <s v="Howard Wiggins"/>
    <d v="2020-09-16T00:00:00"/>
    <d v="2023-12-23T00:00:00"/>
    <x v="4"/>
    <x v="1"/>
    <x v="0"/>
    <d v="2021-09-08T00:00:00"/>
    <s v="Single"/>
    <x v="3"/>
    <x v="5"/>
    <n v="0"/>
    <x v="0"/>
    <x v="0"/>
  </r>
  <r>
    <x v="1"/>
    <m/>
    <n v="145787"/>
    <s v="Palmer Hart"/>
    <d v="2020-09-16T00:00:00"/>
    <d v="2024-01-27T00:00:00"/>
    <x v="4"/>
    <x v="1"/>
    <x v="1"/>
    <d v="2021-10-14T00:00:00"/>
    <s v="Married"/>
    <x v="3"/>
    <x v="5"/>
    <n v="0"/>
    <x v="0"/>
    <x v="0"/>
  </r>
  <r>
    <x v="1"/>
    <m/>
    <n v="170924"/>
    <s v="Lesa Terrell"/>
    <d v="2020-09-16T00:00:00"/>
    <d v="2024-03-17T00:00:00"/>
    <x v="6"/>
    <x v="1"/>
    <x v="0"/>
    <d v="2021-10-01T00:00:00"/>
    <s v="Single"/>
    <x v="3"/>
    <x v="5"/>
    <n v="0"/>
    <x v="0"/>
    <x v="0"/>
  </r>
  <r>
    <x v="1"/>
    <m/>
    <n v="129573"/>
    <s v="Celeste Moses"/>
    <d v="2020-09-16T00:00:00"/>
    <d v="2024-09-29T00:00:00"/>
    <x v="1"/>
    <x v="1"/>
    <x v="1"/>
    <d v="2021-09-16T00:00:00"/>
    <s v="Single"/>
    <x v="1"/>
    <x v="5"/>
    <n v="0"/>
    <x v="0"/>
    <x v="0"/>
  </r>
  <r>
    <x v="0"/>
    <m/>
    <n v="115742"/>
    <s v="Leanne Mosley"/>
    <d v="2020-09-16T00:00:00"/>
    <m/>
    <x v="1"/>
    <x v="1"/>
    <x v="1"/>
    <d v="2021-09-23T00:00:00"/>
    <s v="Single"/>
    <x v="1"/>
    <x v="5"/>
    <n v="0"/>
    <x v="0"/>
    <x v="0"/>
  </r>
  <r>
    <x v="0"/>
    <m/>
    <n v="126064"/>
    <s v="Renaldo Navarro"/>
    <d v="2020-09-16T00:00:00"/>
    <m/>
    <x v="1"/>
    <x v="1"/>
    <x v="1"/>
    <d v="2021-05-30T00:00:00"/>
    <s v="Single"/>
    <x v="1"/>
    <x v="5"/>
    <n v="0"/>
    <x v="0"/>
    <x v="0"/>
  </r>
  <r>
    <x v="0"/>
    <m/>
    <n v="173140"/>
    <s v="Sonia Ortiz"/>
    <d v="2020-09-16T00:00:00"/>
    <m/>
    <x v="6"/>
    <x v="1"/>
    <x v="0"/>
    <d v="2021-07-13T00:00:00"/>
    <s v="Single"/>
    <x v="1"/>
    <x v="5"/>
    <n v="0"/>
    <x v="0"/>
    <x v="0"/>
  </r>
  <r>
    <x v="1"/>
    <m/>
    <n v="181592"/>
    <s v="Faith Lopez"/>
    <d v="2020-10-16T00:00:00"/>
    <d v="2024-02-03T00:00:00"/>
    <x v="6"/>
    <x v="1"/>
    <x v="0"/>
    <d v="2021-01-24T00:00:00"/>
    <s v="Married"/>
    <x v="2"/>
    <x v="5"/>
    <n v="12"/>
    <x v="0"/>
    <x v="0"/>
  </r>
  <r>
    <x v="1"/>
    <m/>
    <n v="144158"/>
    <s v="Kim Ramirez"/>
    <d v="2020-11-28T00:00:00"/>
    <d v="2023-03-31T00:00:00"/>
    <x v="0"/>
    <x v="1"/>
    <x v="0"/>
    <d v="2021-04-10T00:00:00"/>
    <s v="Married"/>
    <x v="1"/>
    <x v="1"/>
    <n v="6"/>
    <x v="0"/>
    <x v="0"/>
  </r>
  <r>
    <x v="0"/>
    <m/>
    <n v="178955"/>
    <s v="Mariana Chavez"/>
    <d v="2020-12-02T00:00:00"/>
    <m/>
    <x v="6"/>
    <x v="1"/>
    <x v="0"/>
    <d v="2021-03-18T00:00:00"/>
    <s v="Single"/>
    <x v="1"/>
    <x v="1"/>
    <n v="8"/>
    <x v="0"/>
    <x v="0"/>
  </r>
  <r>
    <x v="1"/>
    <m/>
    <n v="110616"/>
    <s v="Tracey Burch"/>
    <d v="2020-12-21T00:00:00"/>
    <d v="2022-03-31T00:00:00"/>
    <x v="0"/>
    <x v="1"/>
    <x v="0"/>
    <d v="2021-01-20T00:00:00"/>
    <s v="Married"/>
    <x v="1"/>
    <x v="4"/>
    <n v="9"/>
    <x v="0"/>
    <x v="0"/>
  </r>
  <r>
    <x v="1"/>
    <m/>
    <n v="120981"/>
    <s v="Gabriela Juarez"/>
    <d v="2020-12-26T00:00:00"/>
    <d v="2023-07-01T00:00:00"/>
    <x v="0"/>
    <x v="1"/>
    <x v="1"/>
    <d v="2021-07-22T00:00:00"/>
    <s v="Single"/>
    <x v="3"/>
    <x v="0"/>
    <n v="0"/>
    <x v="0"/>
    <x v="0"/>
  </r>
  <r>
    <x v="1"/>
    <m/>
    <n v="140182"/>
    <s v="Katheryn Trevino"/>
    <d v="2021-01-22T00:00:00"/>
    <d v="2022-03-15T00:00:00"/>
    <x v="4"/>
    <x v="1"/>
    <x v="1"/>
    <d v="2021-02-08T00:00:00"/>
    <s v="Single"/>
    <x v="3"/>
    <x v="0"/>
    <n v="0"/>
    <x v="1"/>
    <x v="0"/>
  </r>
  <r>
    <x v="1"/>
    <m/>
    <n v="174057"/>
    <s v="Angelita Townsend"/>
    <d v="2021-01-22T00:00:00"/>
    <d v="2023-02-08T00:00:00"/>
    <x v="4"/>
    <x v="1"/>
    <x v="0"/>
    <d v="2021-11-11T00:00:00"/>
    <s v="Married"/>
    <x v="1"/>
    <x v="0"/>
    <n v="6"/>
    <x v="1"/>
    <x v="0"/>
  </r>
  <r>
    <x v="1"/>
    <m/>
    <n v="124194"/>
    <s v="Damon Burgess"/>
    <d v="2021-01-29T00:00:00"/>
    <d v="2022-03-10T00:00:00"/>
    <x v="1"/>
    <x v="1"/>
    <x v="0"/>
    <d v="2021-01-25T00:00:00"/>
    <s v="Married"/>
    <x v="2"/>
    <x v="1"/>
    <n v="13"/>
    <x v="1"/>
    <x v="0"/>
  </r>
  <r>
    <x v="1"/>
    <m/>
    <n v="185420"/>
    <s v="Olen Watts"/>
    <d v="2021-02-19T00:00:00"/>
    <d v="2023-09-30T00:00:00"/>
    <x v="2"/>
    <x v="1"/>
    <x v="0"/>
    <d v="2021-06-24T00:00:00"/>
    <s v="Married"/>
    <x v="1"/>
    <x v="2"/>
    <n v="5"/>
    <x v="1"/>
    <x v="0"/>
  </r>
  <r>
    <x v="1"/>
    <m/>
    <n v="184945"/>
    <s v="Raymond Levine"/>
    <d v="2021-02-24T00:00:00"/>
    <d v="2022-07-06T00:00:00"/>
    <x v="1"/>
    <x v="1"/>
    <x v="0"/>
    <d v="2021-09-27T00:00:00"/>
    <s v="Married"/>
    <x v="1"/>
    <x v="1"/>
    <n v="10"/>
    <x v="1"/>
    <x v="0"/>
  </r>
  <r>
    <x v="0"/>
    <m/>
    <n v="129852"/>
    <s v="Sally Hinton"/>
    <d v="2021-03-02T00:00:00"/>
    <m/>
    <x v="4"/>
    <x v="1"/>
    <x v="0"/>
    <d v="2021-01-04T00:00:00"/>
    <s v="Single"/>
    <x v="2"/>
    <x v="0"/>
    <n v="10"/>
    <x v="1"/>
    <x v="0"/>
  </r>
  <r>
    <x v="1"/>
    <m/>
    <n v="139272"/>
    <s v="Katelyn Ware"/>
    <d v="2021-03-09T00:00:00"/>
    <d v="2023-06-30T00:00:00"/>
    <x v="0"/>
    <x v="1"/>
    <x v="1"/>
    <d v="2021-06-16T00:00:00"/>
    <s v="Married"/>
    <x v="1"/>
    <x v="0"/>
    <n v="8"/>
    <x v="1"/>
    <x v="0"/>
  </r>
  <r>
    <x v="0"/>
    <m/>
    <n v="194976"/>
    <s v="Jessie Bowen"/>
    <d v="2021-03-16T00:00:00"/>
    <m/>
    <x v="4"/>
    <x v="1"/>
    <x v="1"/>
    <d v="2021-01-04T00:00:00"/>
    <s v="Single"/>
    <x v="1"/>
    <x v="0"/>
    <n v="3.5"/>
    <x v="1"/>
    <x v="0"/>
  </r>
  <r>
    <x v="0"/>
    <m/>
    <n v="132557"/>
    <s v="Mac Marquez"/>
    <d v="2021-05-27T00:00:00"/>
    <m/>
    <x v="1"/>
    <x v="1"/>
    <x v="1"/>
    <d v="2021-08-21T00:00:00"/>
    <s v="Single"/>
    <x v="1"/>
    <x v="2"/>
    <n v="7"/>
    <x v="1"/>
    <x v="0"/>
  </r>
  <r>
    <x v="1"/>
    <s v="OnRoll"/>
    <n v="187280"/>
    <s v="Spencer Webb"/>
    <d v="2021-08-10T00:00:00"/>
    <d v="2022-02-19T00:00:00"/>
    <x v="4"/>
    <x v="1"/>
    <x v="1"/>
    <d v="2021-09-16T00:00:00"/>
    <s v="Single"/>
    <x v="3"/>
    <x v="0"/>
    <n v="0"/>
    <x v="1"/>
    <x v="1"/>
  </r>
  <r>
    <x v="0"/>
    <s v="OnRoll"/>
    <n v="190396"/>
    <s v="Valentin Mcdonald"/>
    <d v="2021-08-10T00:00:00"/>
    <m/>
    <x v="4"/>
    <x v="1"/>
    <x v="0"/>
    <d v="2021-11-13T00:00:00"/>
    <s v="Single"/>
    <x v="3"/>
    <x v="0"/>
    <n v="0"/>
    <x v="1"/>
    <x v="1"/>
  </r>
  <r>
    <x v="2"/>
    <m/>
    <n v="161242"/>
    <s v="Royce Schneider"/>
    <d v="2021-08-12T00:00:00"/>
    <m/>
    <x v="3"/>
    <x v="1"/>
    <x v="0"/>
    <d v="2021-12-26T00:00:00"/>
    <s v="Married"/>
    <x v="1"/>
    <x v="0"/>
    <n v="10"/>
    <x v="1"/>
    <x v="1"/>
  </r>
  <r>
    <x v="1"/>
    <m/>
    <n v="156965"/>
    <s v="Kara Mclean"/>
    <d v="2021-08-17T00:00:00"/>
    <d v="2022-03-16T00:00:00"/>
    <x v="4"/>
    <x v="1"/>
    <x v="1"/>
    <d v="2021-02-20T00:00:00"/>
    <s v="Married"/>
    <x v="1"/>
    <x v="0"/>
    <n v="11"/>
    <x v="1"/>
    <x v="1"/>
  </r>
  <r>
    <x v="1"/>
    <m/>
    <n v="192455"/>
    <s v="Damian Mckee"/>
    <d v="2021-09-01T00:00:00"/>
    <d v="2021-02-06T00:00:00"/>
    <x v="0"/>
    <x v="1"/>
    <x v="0"/>
    <d v="2021-05-22T00:00:00"/>
    <s v="Married"/>
    <x v="1"/>
    <x v="4"/>
    <n v="8"/>
    <x v="1"/>
    <x v="1"/>
  </r>
  <r>
    <x v="1"/>
    <m/>
    <n v="174038"/>
    <s v="Mohamed Duran"/>
    <d v="2021-09-01T00:00:00"/>
    <d v="2021-03-27T00:00:00"/>
    <x v="4"/>
    <x v="1"/>
    <x v="1"/>
    <d v="2021-12-10T00:00:00"/>
    <s v="Married"/>
    <x v="1"/>
    <x v="1"/>
    <n v="12"/>
    <x v="1"/>
    <x v="1"/>
  </r>
  <r>
    <x v="0"/>
    <m/>
    <n v="129765"/>
    <s v="Vera Harvey"/>
    <d v="2021-09-01T00:00:00"/>
    <m/>
    <x v="0"/>
    <x v="1"/>
    <x v="0"/>
    <d v="2021-01-15T00:00:00"/>
    <s v="Single"/>
    <x v="1"/>
    <x v="0"/>
    <n v="5"/>
    <x v="1"/>
    <x v="1"/>
  </r>
  <r>
    <x v="0"/>
    <m/>
    <n v="154732"/>
    <s v="Cristina David"/>
    <d v="2021-09-09T00:00:00"/>
    <m/>
    <x v="5"/>
    <x v="1"/>
    <x v="1"/>
    <d v="2021-11-07T00:00:00"/>
    <s v="Single"/>
    <x v="3"/>
    <x v="0"/>
    <n v="0"/>
    <x v="1"/>
    <x v="1"/>
  </r>
  <r>
    <x v="0"/>
    <m/>
    <n v="137413"/>
    <s v="Florence Randall"/>
    <d v="2021-09-16T00:00:00"/>
    <m/>
    <x v="5"/>
    <x v="1"/>
    <x v="0"/>
    <d v="2021-01-24T00:00:00"/>
    <s v="Single"/>
    <x v="2"/>
    <x v="0"/>
    <n v="9"/>
    <x v="1"/>
    <x v="1"/>
  </r>
  <r>
    <x v="0"/>
    <m/>
    <n v="185734"/>
    <s v="Andrea Logan"/>
    <d v="2021-09-16T00:00:00"/>
    <m/>
    <x v="4"/>
    <x v="1"/>
    <x v="0"/>
    <d v="2021-12-06T00:00:00"/>
    <s v="Single"/>
    <x v="3"/>
    <x v="5"/>
    <n v="0"/>
    <x v="1"/>
    <x v="1"/>
  </r>
  <r>
    <x v="0"/>
    <m/>
    <n v="142749"/>
    <s v="Barrett Wallace"/>
    <d v="2021-09-30T00:00:00"/>
    <m/>
    <x v="4"/>
    <x v="1"/>
    <x v="0"/>
    <d v="2021-07-04T00:00:00"/>
    <s v="Single"/>
    <x v="1"/>
    <x v="0"/>
    <n v="17"/>
    <x v="1"/>
    <x v="1"/>
  </r>
  <r>
    <x v="1"/>
    <m/>
    <n v="116657"/>
    <s v="Claude Ramsey"/>
    <d v="2021-10-21T00:00:00"/>
    <d v="2022-06-28T00:00:00"/>
    <x v="4"/>
    <x v="1"/>
    <x v="0"/>
    <d v="2021-04-14T00:00:00"/>
    <s v="Single"/>
    <x v="1"/>
    <x v="0"/>
    <n v="4.5999999999999996"/>
    <x v="1"/>
    <x v="1"/>
  </r>
  <r>
    <x v="0"/>
    <m/>
    <n v="144530"/>
    <s v="Mason Wells"/>
    <d v="2021-11-18T00:00:00"/>
    <m/>
    <x v="4"/>
    <x v="1"/>
    <x v="0"/>
    <d v="2021-03-20T00:00:00"/>
    <s v="Single"/>
    <x v="1"/>
    <x v="6"/>
    <n v="14"/>
    <x v="1"/>
    <x v="1"/>
  </r>
  <r>
    <x v="0"/>
    <m/>
    <n v="101259"/>
    <s v="Whitney Vance"/>
    <d v="2022-02-24T00:00:00"/>
    <m/>
    <x v="1"/>
    <x v="1"/>
    <x v="0"/>
    <d v="2021-11-27T00:00:00"/>
    <s v="Married"/>
    <x v="2"/>
    <x v="0"/>
    <n v="12"/>
    <x v="2"/>
    <x v="1"/>
  </r>
  <r>
    <x v="0"/>
    <m/>
    <n v="122323"/>
    <s v="Bobbie Harvey"/>
    <d v="2022-03-03T00:00:00"/>
    <m/>
    <x v="2"/>
    <x v="1"/>
    <x v="1"/>
    <d v="2021-08-18T00:00:00"/>
    <s v="Married"/>
    <x v="1"/>
    <x v="6"/>
    <n v="14"/>
    <x v="2"/>
    <x v="1"/>
  </r>
  <r>
    <x v="0"/>
    <m/>
    <n v="136489"/>
    <s v="Russel Fox"/>
    <d v="2022-03-17T00:00:00"/>
    <m/>
    <x v="4"/>
    <x v="1"/>
    <x v="0"/>
    <d v="2021-02-03T00:00:00"/>
    <s v="Married"/>
    <x v="1"/>
    <x v="6"/>
    <n v="5.3"/>
    <x v="2"/>
    <x v="1"/>
  </r>
  <r>
    <x v="0"/>
    <m/>
    <n v="107161"/>
    <s v="Benita Holland"/>
    <d v="2022-03-24T00:00:00"/>
    <m/>
    <x v="0"/>
    <x v="1"/>
    <x v="1"/>
    <d v="2021-07-25T00:00:00"/>
    <s v="Single"/>
    <x v="3"/>
    <x v="6"/>
    <n v="2.5"/>
    <x v="2"/>
    <x v="1"/>
  </r>
  <r>
    <x v="0"/>
    <m/>
    <n v="182061"/>
    <s v="Cory Leblanc"/>
    <d v="2022-03-24T00:00:00"/>
    <m/>
    <x v="4"/>
    <x v="1"/>
    <x v="0"/>
    <d v="2021-05-06T00:00:00"/>
    <s v="Single"/>
    <x v="1"/>
    <x v="6"/>
    <n v="2.11"/>
    <x v="2"/>
    <x v="1"/>
  </r>
  <r>
    <x v="0"/>
    <m/>
    <n v="123190"/>
    <s v="Isaiah George"/>
    <d v="2022-04-07T00:00:00"/>
    <m/>
    <x v="4"/>
    <x v="1"/>
    <x v="1"/>
    <d v="2021-01-18T00:00:00"/>
    <s v="Single"/>
    <x v="3"/>
    <x v="6"/>
    <n v="0"/>
    <x v="2"/>
    <x v="1"/>
  </r>
  <r>
    <x v="0"/>
    <m/>
    <n v="118638"/>
    <s v="Brad Nichols"/>
    <d v="2022-04-07T00:00:00"/>
    <m/>
    <x v="4"/>
    <x v="1"/>
    <x v="0"/>
    <d v="2021-11-24T00:00:00"/>
    <s v="Married"/>
    <x v="1"/>
    <x v="6"/>
    <n v="15"/>
    <x v="2"/>
    <x v="1"/>
  </r>
  <r>
    <x v="0"/>
    <m/>
    <n v="132330"/>
    <s v="Quentin Mcdonald"/>
    <d v="2022-04-14T00:00:00"/>
    <m/>
    <x v="3"/>
    <x v="1"/>
    <x v="0"/>
    <d v="2021-10-14T00:00:00"/>
    <s v="Married"/>
    <x v="2"/>
    <x v="5"/>
    <n v="14"/>
    <x v="2"/>
    <x v="1"/>
  </r>
  <r>
    <x v="0"/>
    <m/>
    <n v="191594"/>
    <s v="Johnie Pruitt"/>
    <d v="2022-04-19T00:00:00"/>
    <m/>
    <x v="2"/>
    <x v="1"/>
    <x v="0"/>
    <d v="2021-09-07T00:00:00"/>
    <s v="Married"/>
    <x v="1"/>
    <x v="0"/>
    <n v="8"/>
    <x v="2"/>
    <x v="1"/>
  </r>
  <r>
    <x v="2"/>
    <m/>
    <n v="152991"/>
    <s v="Walker Whitney"/>
    <d v="2022-05-05T00:00:00"/>
    <m/>
    <x v="1"/>
    <x v="1"/>
    <x v="0"/>
    <d v="2021-02-18T00:00:00"/>
    <s v="Married"/>
    <x v="1"/>
    <x v="0"/>
    <n v="15"/>
    <x v="2"/>
    <x v="1"/>
  </r>
  <r>
    <x v="1"/>
    <s v="OnRoll"/>
    <n v="101996"/>
    <s v="Alexander Fowler"/>
    <d v="2022-06-30T00:00:00"/>
    <d v="2023-07-01T00:00:00"/>
    <x v="1"/>
    <x v="1"/>
    <x v="0"/>
    <d v="2021-08-06T00:00:00"/>
    <s v="Single"/>
    <x v="3"/>
    <x v="6"/>
    <n v="1"/>
    <x v="2"/>
    <x v="2"/>
  </r>
  <r>
    <x v="1"/>
    <m/>
    <n v="138939"/>
    <s v="Susanna Humphrey"/>
    <d v="2022-07-07T00:00:00"/>
    <d v="2023-05-08T00:00:00"/>
    <x v="1"/>
    <x v="1"/>
    <x v="1"/>
    <d v="2021-04-03T00:00:00"/>
    <s v="Married"/>
    <x v="1"/>
    <x v="0"/>
    <n v="6"/>
    <x v="2"/>
    <x v="2"/>
  </r>
  <r>
    <x v="1"/>
    <m/>
    <n v="198396"/>
    <s v="Beth Lowe"/>
    <d v="2022-07-21T00:00:00"/>
    <d v="2024-02-02T00:00:00"/>
    <x v="1"/>
    <x v="1"/>
    <x v="0"/>
    <d v="2021-01-12T00:00:00"/>
    <s v="Married"/>
    <x v="2"/>
    <x v="1"/>
    <n v="18"/>
    <x v="2"/>
    <x v="2"/>
  </r>
  <r>
    <x v="0"/>
    <m/>
    <n v="194143"/>
    <s v="Casandra Aguilar"/>
    <d v="2022-07-21T00:00:00"/>
    <m/>
    <x v="4"/>
    <x v="1"/>
    <x v="0"/>
    <d v="2021-02-21T00:00:00"/>
    <s v="Married"/>
    <x v="1"/>
    <x v="6"/>
    <n v="6.5"/>
    <x v="2"/>
    <x v="2"/>
  </r>
  <r>
    <x v="2"/>
    <m/>
    <n v="134729"/>
    <s v="Lynn Andersen"/>
    <d v="2022-07-26T00:00:00"/>
    <m/>
    <x v="1"/>
    <x v="1"/>
    <x v="0"/>
    <d v="2021-01-10T00:00:00"/>
    <s v="Single"/>
    <x v="1"/>
    <x v="0"/>
    <n v="7"/>
    <x v="2"/>
    <x v="2"/>
  </r>
  <r>
    <x v="1"/>
    <m/>
    <n v="186526"/>
    <s v="Leola Vega"/>
    <d v="2022-09-01T00:00:00"/>
    <d v="2023-12-09T00:00:00"/>
    <x v="4"/>
    <x v="1"/>
    <x v="1"/>
    <d v="2021-12-10T00:00:00"/>
    <s v="Married"/>
    <x v="3"/>
    <x v="6"/>
    <n v="1.8"/>
    <x v="2"/>
    <x v="2"/>
  </r>
  <r>
    <x v="0"/>
    <m/>
    <n v="115395"/>
    <s v="Hillary Spencer"/>
    <d v="2022-09-01T00:00:00"/>
    <m/>
    <x v="4"/>
    <x v="1"/>
    <x v="1"/>
    <d v="2021-10-26T00:00:00"/>
    <s v="Single"/>
    <x v="3"/>
    <x v="6"/>
    <n v="3.5"/>
    <x v="2"/>
    <x v="2"/>
  </r>
  <r>
    <x v="0"/>
    <m/>
    <n v="160948"/>
    <s v="Joesph Jones"/>
    <d v="2022-09-01T00:00:00"/>
    <m/>
    <x v="4"/>
    <x v="1"/>
    <x v="1"/>
    <d v="2021-10-03T00:00:00"/>
    <s v="Single"/>
    <x v="3"/>
    <x v="6"/>
    <n v="0"/>
    <x v="2"/>
    <x v="2"/>
  </r>
  <r>
    <x v="0"/>
    <m/>
    <n v="163814"/>
    <s v="Otha May"/>
    <d v="2022-09-01T00:00:00"/>
    <m/>
    <x v="0"/>
    <x v="1"/>
    <x v="0"/>
    <d v="2021-01-12T00:00:00"/>
    <s v="Single"/>
    <x v="3"/>
    <x v="6"/>
    <n v="2"/>
    <x v="2"/>
    <x v="2"/>
  </r>
  <r>
    <x v="0"/>
    <m/>
    <n v="163161"/>
    <s v="Ophelia Black"/>
    <d v="2022-09-01T00:00:00"/>
    <m/>
    <x v="4"/>
    <x v="1"/>
    <x v="0"/>
    <d v="2021-01-19T00:00:00"/>
    <s v="Married"/>
    <x v="1"/>
    <x v="6"/>
    <n v="13"/>
    <x v="2"/>
    <x v="2"/>
  </r>
  <r>
    <x v="0"/>
    <m/>
    <n v="173240"/>
    <s v="Helena Williamson"/>
    <d v="2022-09-15T00:00:00"/>
    <m/>
    <x v="0"/>
    <x v="1"/>
    <x v="1"/>
    <d v="2021-02-02T00:00:00"/>
    <s v="Married"/>
    <x v="1"/>
    <x v="6"/>
    <n v="8.1999999999999993"/>
    <x v="2"/>
    <x v="2"/>
  </r>
  <r>
    <x v="0"/>
    <m/>
    <n v="109673"/>
    <s v="Megan Kent"/>
    <d v="2022-10-06T00:00:00"/>
    <m/>
    <x v="4"/>
    <x v="1"/>
    <x v="0"/>
    <d v="2021-05-10T00:00:00"/>
    <s v="Single"/>
    <x v="3"/>
    <x v="6"/>
    <n v="7.6"/>
    <x v="2"/>
    <x v="2"/>
  </r>
  <r>
    <x v="0"/>
    <m/>
    <n v="138302"/>
    <s v="Rufus Escobar"/>
    <d v="2022-10-13T00:00:00"/>
    <m/>
    <x v="4"/>
    <x v="1"/>
    <x v="0"/>
    <d v="2021-08-25T00:00:00"/>
    <s v="Single"/>
    <x v="3"/>
    <x v="6"/>
    <n v="6.2"/>
    <x v="2"/>
    <x v="2"/>
  </r>
  <r>
    <x v="2"/>
    <m/>
    <n v="126765"/>
    <s v="Ericka Hurst"/>
    <d v="2022-11-03T00:00:00"/>
    <m/>
    <x v="1"/>
    <x v="1"/>
    <x v="0"/>
    <d v="2021-01-21T00:00:00"/>
    <s v="Married"/>
    <x v="1"/>
    <x v="0"/>
    <n v="15"/>
    <x v="2"/>
    <x v="2"/>
  </r>
  <r>
    <x v="2"/>
    <m/>
    <n v="188099"/>
    <s v="Johnny Cisneros"/>
    <d v="2022-12-06T00:00:00"/>
    <m/>
    <x v="1"/>
    <x v="1"/>
    <x v="0"/>
    <d v="2021-05-16T00:00:00"/>
    <s v="Married"/>
    <x v="1"/>
    <x v="0"/>
    <n v="16"/>
    <x v="2"/>
    <x v="2"/>
  </r>
  <r>
    <x v="0"/>
    <s v="OnRoll"/>
    <n v="115441"/>
    <s v="Alba Norton"/>
    <d v="2023-02-01T00:00:00"/>
    <m/>
    <x v="1"/>
    <x v="1"/>
    <x v="0"/>
    <d v="2021-06-30T00:00:00"/>
    <s v="Single"/>
    <x v="3"/>
    <x v="4"/>
    <n v="1.5"/>
    <x v="3"/>
    <x v="2"/>
  </r>
  <r>
    <x v="0"/>
    <s v="OnRoll"/>
    <n v="169669"/>
    <s v="Sanford Patterson"/>
    <d v="2023-04-11T00:00:00"/>
    <m/>
    <x v="1"/>
    <x v="1"/>
    <x v="1"/>
    <d v="2022-03-19T00:00:00"/>
    <s v="Married"/>
    <x v="1"/>
    <x v="2"/>
    <n v="6"/>
    <x v="3"/>
    <x v="2"/>
  </r>
  <r>
    <x v="0"/>
    <m/>
    <n v="100957"/>
    <s v="Blanche Greer"/>
    <d v="2023-04-20T00:00:00"/>
    <m/>
    <x v="1"/>
    <x v="1"/>
    <x v="1"/>
    <d v="2022-03-12T00:00:00"/>
    <s v="Married"/>
    <x v="1"/>
    <x v="0"/>
    <n v="8"/>
    <x v="3"/>
    <x v="2"/>
  </r>
  <r>
    <x v="2"/>
    <m/>
    <n v="193737"/>
    <s v="Nita Powers"/>
    <d v="2023-05-11T00:00:00"/>
    <m/>
    <x v="1"/>
    <x v="1"/>
    <x v="0"/>
    <d v="2022-10-13T00:00:00"/>
    <s v="Married"/>
    <x v="1"/>
    <x v="0"/>
    <n v="11.5"/>
    <x v="3"/>
    <x v="2"/>
  </r>
  <r>
    <x v="0"/>
    <m/>
    <n v="180698"/>
    <s v="Francesco Blanchard"/>
    <d v="2023-05-18T00:00:00"/>
    <m/>
    <x v="1"/>
    <x v="1"/>
    <x v="0"/>
    <d v="2022-03-09T00:00:00"/>
    <s v="Single"/>
    <x v="1"/>
    <x v="0"/>
    <n v="3.5"/>
    <x v="3"/>
    <x v="2"/>
  </r>
  <r>
    <x v="1"/>
    <m/>
    <n v="124433"/>
    <s v="Elias Davis"/>
    <d v="2023-06-01T00:00:00"/>
    <d v="2023-07-11T00:00:00"/>
    <x v="4"/>
    <x v="1"/>
    <x v="1"/>
    <d v="2022-11-02T00:00:00"/>
    <s v="Single"/>
    <x v="3"/>
    <x v="5"/>
    <n v="0"/>
    <x v="3"/>
    <x v="2"/>
  </r>
  <r>
    <x v="0"/>
    <s v="OnRoll"/>
    <n v="151636"/>
    <s v="Lucio Christian"/>
    <d v="2023-06-06T00:00:00"/>
    <m/>
    <x v="1"/>
    <x v="1"/>
    <x v="0"/>
    <d v="2021-02-28T00:00:00"/>
    <s v="Single"/>
    <x v="3"/>
    <x v="5"/>
    <n v="1.8"/>
    <x v="3"/>
    <x v="2"/>
  </r>
  <r>
    <x v="0"/>
    <s v="OnRoll"/>
    <n v="173529"/>
    <s v="Greg Schaefer"/>
    <d v="2023-06-06T00:00:00"/>
    <m/>
    <x v="1"/>
    <x v="1"/>
    <x v="1"/>
    <d v="2021-01-08T00:00:00"/>
    <s v="Single"/>
    <x v="3"/>
    <x v="5"/>
    <n v="1.5"/>
    <x v="3"/>
    <x v="2"/>
  </r>
  <r>
    <x v="0"/>
    <s v="OnRoll"/>
    <n v="116633"/>
    <s v="Adriana Little"/>
    <d v="2023-06-06T00:00:00"/>
    <m/>
    <x v="1"/>
    <x v="1"/>
    <x v="1"/>
    <d v="2021-01-22T00:00:00"/>
    <s v="Single"/>
    <x v="3"/>
    <x v="5"/>
    <n v="0.11"/>
    <x v="3"/>
    <x v="2"/>
  </r>
  <r>
    <x v="0"/>
    <s v="OnRoll"/>
    <n v="160990"/>
    <s v="Abdul Khan"/>
    <d v="2023-06-06T00:00:00"/>
    <m/>
    <x v="1"/>
    <x v="1"/>
    <x v="0"/>
    <d v="2022-08-31T00:00:00"/>
    <s v="Single"/>
    <x v="3"/>
    <x v="5"/>
    <n v="0"/>
    <x v="3"/>
    <x v="2"/>
  </r>
  <r>
    <x v="1"/>
    <m/>
    <n v="170513"/>
    <s v="Marissa Mckee"/>
    <d v="2023-06-08T00:00:00"/>
    <d v="2024-03-31T00:00:00"/>
    <x v="1"/>
    <x v="1"/>
    <x v="1"/>
    <d v="2022-05-31T00:00:00"/>
    <s v="Single"/>
    <x v="1"/>
    <x v="0"/>
    <n v="7"/>
    <x v="3"/>
    <x v="3"/>
  </r>
  <r>
    <x v="0"/>
    <m/>
    <n v="167822"/>
    <s v="Ashlee Ortega"/>
    <d v="2023-06-29T00:00:00"/>
    <m/>
    <x v="1"/>
    <x v="1"/>
    <x v="0"/>
    <d v="2022-07-31T00:00:00"/>
    <s v="Married"/>
    <x v="3"/>
    <x v="5"/>
    <n v="7"/>
    <x v="3"/>
    <x v="3"/>
  </r>
  <r>
    <x v="0"/>
    <m/>
    <n v="161037"/>
    <s v="Edmund Lawson"/>
    <d v="2023-07-04T00:00:00"/>
    <m/>
    <x v="1"/>
    <x v="1"/>
    <x v="1"/>
    <d v="2022-03-09T00:00:00"/>
    <s v="Single"/>
    <x v="3"/>
    <x v="0"/>
    <n v="5"/>
    <x v="3"/>
    <x v="3"/>
  </r>
  <r>
    <x v="0"/>
    <m/>
    <n v="153255"/>
    <s v="Linda Jacobs"/>
    <d v="2023-07-13T00:00:00"/>
    <m/>
    <x v="1"/>
    <x v="1"/>
    <x v="1"/>
    <d v="2022-01-29T00:00:00"/>
    <s v="Single"/>
    <x v="3"/>
    <x v="2"/>
    <n v="3.8"/>
    <x v="3"/>
    <x v="3"/>
  </r>
  <r>
    <x v="0"/>
    <m/>
    <n v="123179"/>
    <s v="Kelley Harding"/>
    <d v="2023-07-18T00:00:00"/>
    <m/>
    <x v="1"/>
    <x v="1"/>
    <x v="1"/>
    <d v="2022-02-20T00:00:00"/>
    <s v="Single"/>
    <x v="1"/>
    <x v="5"/>
    <n v="6.5"/>
    <x v="3"/>
    <x v="3"/>
  </r>
  <r>
    <x v="0"/>
    <m/>
    <n v="189554"/>
    <s v="Rose Carney"/>
    <d v="2023-07-27T00:00:00"/>
    <m/>
    <x v="1"/>
    <x v="1"/>
    <x v="1"/>
    <d v="2022-07-24T00:00:00"/>
    <s v="Married"/>
    <x v="1"/>
    <x v="5"/>
    <n v="8"/>
    <x v="3"/>
    <x v="3"/>
  </r>
  <r>
    <x v="0"/>
    <m/>
    <n v="186786"/>
    <s v="Emery Goodwin"/>
    <d v="2023-08-01T00:00:00"/>
    <m/>
    <x v="0"/>
    <x v="1"/>
    <x v="1"/>
    <d v="2022-09-15T00:00:00"/>
    <s v="Single"/>
    <x v="3"/>
    <x v="6"/>
    <n v="1.5"/>
    <x v="3"/>
    <x v="3"/>
  </r>
  <r>
    <x v="0"/>
    <m/>
    <n v="186818"/>
    <s v="Derick Singh"/>
    <d v="2023-08-03T00:00:00"/>
    <m/>
    <x v="0"/>
    <x v="1"/>
    <x v="0"/>
    <d v="2022-05-15T00:00:00"/>
    <s v="Single"/>
    <x v="1"/>
    <x v="6"/>
    <n v="7"/>
    <x v="3"/>
    <x v="3"/>
  </r>
  <r>
    <x v="0"/>
    <m/>
    <n v="147963"/>
    <s v="Hassan Wilcox"/>
    <d v="2023-08-16T00:00:00"/>
    <m/>
    <x v="1"/>
    <x v="1"/>
    <x v="1"/>
    <d v="2022-02-28T00:00:00"/>
    <s v="Married"/>
    <x v="1"/>
    <x v="0"/>
    <n v="15"/>
    <x v="3"/>
    <x v="3"/>
  </r>
  <r>
    <x v="0"/>
    <m/>
    <n v="150614"/>
    <s v="Natalie Serrano"/>
    <d v="2023-09-12T00:00:00"/>
    <m/>
    <x v="1"/>
    <x v="1"/>
    <x v="0"/>
    <d v="2022-09-26T00:00:00"/>
    <s v="Married"/>
    <x v="1"/>
    <x v="4"/>
    <n v="10.7"/>
    <x v="3"/>
    <x v="3"/>
  </r>
  <r>
    <x v="0"/>
    <m/>
    <n v="137151"/>
    <s v="Sandy Singleton"/>
    <d v="2023-09-26T00:00:00"/>
    <m/>
    <x v="4"/>
    <x v="1"/>
    <x v="1"/>
    <d v="2022-12-22T00:00:00"/>
    <s v="Single"/>
    <x v="3"/>
    <x v="6"/>
    <n v="2"/>
    <x v="3"/>
    <x v="3"/>
  </r>
  <r>
    <x v="0"/>
    <s v="OnRoll"/>
    <n v="173998"/>
    <s v="Josiah Hart"/>
    <d v="2023-10-28T00:00:00"/>
    <m/>
    <x v="1"/>
    <x v="1"/>
    <x v="0"/>
    <d v="2021-03-16T00:00:00"/>
    <s v="Single"/>
    <x v="1"/>
    <x v="1"/>
    <n v="5.3"/>
    <x v="3"/>
    <x v="3"/>
  </r>
  <r>
    <x v="0"/>
    <s v="OnRoll"/>
    <n v="103925"/>
    <s v="Wayne Hartman"/>
    <d v="2023-11-30T00:00:00"/>
    <m/>
    <x v="1"/>
    <x v="1"/>
    <x v="0"/>
    <d v="2021-05-12T00:00:00"/>
    <s v="Married"/>
    <x v="3"/>
    <x v="3"/>
    <n v="4.5"/>
    <x v="3"/>
    <x v="3"/>
  </r>
  <r>
    <x v="0"/>
    <m/>
    <n v="118694"/>
    <s v="Sallie Carpenter"/>
    <d v="2023-12-05T00:00:00"/>
    <m/>
    <x v="1"/>
    <x v="1"/>
    <x v="0"/>
    <d v="2022-01-20T00:00:00"/>
    <s v="Single"/>
    <x v="3"/>
    <x v="3"/>
    <n v="3.5"/>
    <x v="3"/>
    <x v="3"/>
  </r>
  <r>
    <x v="0"/>
    <m/>
    <n v="195849"/>
    <s v="Allen Walters"/>
    <d v="2023-12-05T00:00:00"/>
    <m/>
    <x v="1"/>
    <x v="1"/>
    <x v="1"/>
    <d v="2022-08-13T00:00:00"/>
    <s v="Single"/>
    <x v="3"/>
    <x v="3"/>
    <n v="1.5"/>
    <x v="3"/>
    <x v="3"/>
  </r>
  <r>
    <x v="0"/>
    <m/>
    <n v="182665"/>
    <s v="Flora Bass"/>
    <d v="2023-12-07T00:00:00"/>
    <m/>
    <x v="1"/>
    <x v="1"/>
    <x v="1"/>
    <d v="2022-03-02T00:00:00"/>
    <s v="Married"/>
    <x v="1"/>
    <x v="2"/>
    <n v="10.9"/>
    <x v="3"/>
    <x v="3"/>
  </r>
  <r>
    <x v="0"/>
    <m/>
    <n v="151067"/>
    <s v="Geneva Hardy"/>
    <d v="2023-12-12T00:00:00"/>
    <m/>
    <x v="2"/>
    <x v="1"/>
    <x v="1"/>
    <d v="2022-07-22T00:00:00"/>
    <s v="Married"/>
    <x v="3"/>
    <x v="5"/>
    <n v="2.8"/>
    <x v="3"/>
    <x v="3"/>
  </r>
  <r>
    <x v="0"/>
    <s v="OnRoll"/>
    <n v="188212"/>
    <s v="Roberto Harper"/>
    <d v="2023-12-14T00:00:00"/>
    <m/>
    <x v="1"/>
    <x v="1"/>
    <x v="0"/>
    <d v="2021-12-12T00:00:00"/>
    <s v="Married"/>
    <x v="1"/>
    <x v="2"/>
    <n v="7.5"/>
    <x v="3"/>
    <x v="3"/>
  </r>
  <r>
    <x v="0"/>
    <s v="OnRoll"/>
    <n v="188527"/>
    <s v="Isabella Miles"/>
    <d v="2023-12-14T00:00:00"/>
    <m/>
    <x v="1"/>
    <x v="1"/>
    <x v="1"/>
    <d v="2022-05-20T00:00:00"/>
    <s v="Single"/>
    <x v="3"/>
    <x v="3"/>
    <n v="10"/>
    <x v="3"/>
    <x v="3"/>
  </r>
  <r>
    <x v="0"/>
    <m/>
    <n v="151539"/>
    <s v="Consuelo Beck"/>
    <d v="2023-12-19T00:00:00"/>
    <m/>
    <x v="1"/>
    <x v="1"/>
    <x v="1"/>
    <d v="2022-02-21T00:00:00"/>
    <s v="Single"/>
    <x v="3"/>
    <x v="3"/>
    <n v="0"/>
    <x v="3"/>
    <x v="3"/>
  </r>
  <r>
    <x v="0"/>
    <m/>
    <n v="148895"/>
    <s v="Barney Velasquez"/>
    <d v="2023-12-28T00:00:00"/>
    <m/>
    <x v="2"/>
    <x v="1"/>
    <x v="1"/>
    <d v="2022-04-17T00:00:00"/>
    <s v="Single"/>
    <x v="3"/>
    <x v="5"/>
    <n v="0"/>
    <x v="3"/>
    <x v="3"/>
  </r>
  <r>
    <x v="0"/>
    <s v="OnRoll"/>
    <n v="114477"/>
    <s v="Jamaal Delgado"/>
    <d v="2024-01-04T00:00:00"/>
    <m/>
    <x v="1"/>
    <x v="1"/>
    <x v="0"/>
    <d v="2021-07-09T00:00:00"/>
    <s v="Single"/>
    <x v="3"/>
    <x v="3"/>
    <n v="1.6"/>
    <x v="4"/>
    <x v="3"/>
  </r>
  <r>
    <x v="0"/>
    <m/>
    <n v="170085"/>
    <s v="Glenda Ayers"/>
    <d v="2024-01-11T00:00:00"/>
    <m/>
    <x v="1"/>
    <x v="1"/>
    <x v="0"/>
    <d v="2023-08-06T00:00:00"/>
    <s v="Single"/>
    <x v="3"/>
    <x v="3"/>
    <n v="3.5"/>
    <x v="4"/>
    <x v="3"/>
  </r>
  <r>
    <x v="0"/>
    <m/>
    <n v="148355"/>
    <s v="Vonda Chandler"/>
    <d v="2024-01-11T00:00:00"/>
    <m/>
    <x v="0"/>
    <x v="1"/>
    <x v="0"/>
    <d v="2021-08-25T00:00:00"/>
    <s v="Single"/>
    <x v="3"/>
    <x v="5"/>
    <n v="14"/>
    <x v="4"/>
    <x v="3"/>
  </r>
  <r>
    <x v="0"/>
    <m/>
    <n v="132724"/>
    <s v="Elma Perkins"/>
    <d v="2024-01-23T00:00:00"/>
    <m/>
    <x v="3"/>
    <x v="1"/>
    <x v="0"/>
    <d v="2023-04-05T00:00:00"/>
    <s v="Single"/>
    <x v="3"/>
    <x v="3"/>
    <n v="0.6"/>
    <x v="4"/>
    <x v="3"/>
  </r>
  <r>
    <x v="0"/>
    <m/>
    <n v="136024"/>
    <s v="Irving Good"/>
    <d v="2024-01-23T00:00:00"/>
    <m/>
    <x v="4"/>
    <x v="1"/>
    <x v="0"/>
    <d v="2021-11-24T00:00:00"/>
    <s v="Single"/>
    <x v="2"/>
    <x v="5"/>
    <n v="14"/>
    <x v="4"/>
    <x v="3"/>
  </r>
  <r>
    <x v="0"/>
    <s v="OnRoll"/>
    <n v="186654"/>
    <s v="Carlo Stephens"/>
    <d v="2024-02-01T00:00:00"/>
    <m/>
    <x v="1"/>
    <x v="1"/>
    <x v="1"/>
    <d v="2022-05-27T00:00:00"/>
    <s v="Single"/>
    <x v="3"/>
    <x v="5"/>
    <n v="3.3"/>
    <x v="4"/>
    <x v="3"/>
  </r>
  <r>
    <x v="0"/>
    <m/>
    <n v="140505"/>
    <s v="Fermin Maddox"/>
    <d v="2024-02-01T00:00:00"/>
    <m/>
    <x v="0"/>
    <x v="1"/>
    <x v="1"/>
    <d v="2021-11-04T00:00:00"/>
    <s v="Single"/>
    <x v="3"/>
    <x v="5"/>
    <n v="13"/>
    <x v="4"/>
    <x v="3"/>
  </r>
  <r>
    <x v="0"/>
    <m/>
    <n v="166500"/>
    <s v="Wendell Bonilla"/>
    <d v="2024-02-06T00:00:00"/>
    <m/>
    <x v="1"/>
    <x v="1"/>
    <x v="1"/>
    <d v="2022-12-11T00:00:00"/>
    <s v="Single"/>
    <x v="3"/>
    <x v="2"/>
    <n v="1.5"/>
    <x v="4"/>
    <x v="3"/>
  </r>
  <r>
    <x v="0"/>
    <s v="OnRoll"/>
    <n v="196256"/>
    <s v="Hank Copeland"/>
    <d v="2024-03-15T00:00:00"/>
    <m/>
    <x v="1"/>
    <x v="1"/>
    <x v="1"/>
    <d v="2021-05-03T00:00:00"/>
    <s v="Married"/>
    <x v="3"/>
    <x v="5"/>
    <n v="3"/>
    <x v="4"/>
    <x v="3"/>
  </r>
  <r>
    <x v="0"/>
    <m/>
    <n v="107622"/>
    <s v="Luciano Arnold"/>
    <d v="2024-03-15T00:00:00"/>
    <m/>
    <x v="4"/>
    <x v="1"/>
    <x v="1"/>
    <d v="2021-04-28T00:00:00"/>
    <s v="Single"/>
    <x v="1"/>
    <x v="5"/>
    <n v="13"/>
    <x v="4"/>
    <x v="3"/>
  </r>
  <r>
    <x v="0"/>
    <m/>
    <n v="140845"/>
    <s v="Aimee Freeman"/>
    <d v="2024-03-23T00:00:00"/>
    <m/>
    <x v="2"/>
    <x v="1"/>
    <x v="0"/>
    <d v="2023-06-04T00:00:00"/>
    <s v="Single"/>
    <x v="1"/>
    <x v="5"/>
    <n v="10"/>
    <x v="4"/>
    <x v="3"/>
  </r>
  <r>
    <x v="0"/>
    <m/>
    <n v="196163"/>
    <s v="Jarrett Henson"/>
    <d v="2024-03-23T00:00:00"/>
    <m/>
    <x v="3"/>
    <x v="1"/>
    <x v="0"/>
    <d v="2022-12-16T00:00:00"/>
    <s v="Single"/>
    <x v="3"/>
    <x v="5"/>
    <n v="6.8"/>
    <x v="4"/>
    <x v="3"/>
  </r>
  <r>
    <x v="0"/>
    <m/>
    <n v="143527"/>
    <s v="Garland Barber"/>
    <d v="2024-03-23T00:00:00"/>
    <m/>
    <x v="0"/>
    <x v="1"/>
    <x v="0"/>
    <d v="2021-02-14T00:00:00"/>
    <s v="Married"/>
    <x v="2"/>
    <x v="3"/>
    <n v="7"/>
    <x v="4"/>
    <x v="3"/>
  </r>
  <r>
    <x v="0"/>
    <m/>
    <n v="121781"/>
    <s v="Filiberto Baird"/>
    <d v="2024-03-23T00:00:00"/>
    <m/>
    <x v="0"/>
    <x v="1"/>
    <x v="0"/>
    <d v="2021-03-11T00:00:00"/>
    <s v="Single"/>
    <x v="2"/>
    <x v="3"/>
    <n v="13"/>
    <x v="4"/>
    <x v="3"/>
  </r>
  <r>
    <x v="0"/>
    <s v="OnRoll"/>
    <n v="190716"/>
    <s v="Reed Pena"/>
    <d v="2024-04-03T00:00:00"/>
    <m/>
    <x v="2"/>
    <x v="1"/>
    <x v="1"/>
    <d v="2021-06-15T00:00:00"/>
    <s v="Married"/>
    <x v="3"/>
    <x v="3"/>
    <n v="4"/>
    <x v="4"/>
    <x v="3"/>
  </r>
  <r>
    <x v="0"/>
    <m/>
    <n v="131453"/>
    <s v="Cecile Garner"/>
    <d v="2024-04-03T00:00:00"/>
    <m/>
    <x v="4"/>
    <x v="1"/>
    <x v="0"/>
    <d v="2023-01-14T00:00:00"/>
    <s v="Single"/>
    <x v="3"/>
    <x v="0"/>
    <n v="8"/>
    <x v="4"/>
    <x v="3"/>
  </r>
  <r>
    <x v="0"/>
    <m/>
    <n v="133611"/>
    <s v="Art Kim"/>
    <d v="2024-04-19T00:00:00"/>
    <m/>
    <x v="4"/>
    <x v="1"/>
    <x v="1"/>
    <d v="1999-05-20T00:00:00"/>
    <s v="Single"/>
    <x v="3"/>
    <x v="6"/>
    <n v="0"/>
    <x v="4"/>
    <x v="3"/>
  </r>
  <r>
    <x v="0"/>
    <m/>
    <n v="158773"/>
    <s v="Grover Kramer"/>
    <d v="2024-05-15T00:00:00"/>
    <m/>
    <x v="2"/>
    <x v="1"/>
    <x v="0"/>
    <d v="2023-05-27T00:00:00"/>
    <s v="Single"/>
    <x v="3"/>
    <x v="3"/>
    <n v="3"/>
    <x v="4"/>
    <x v="3"/>
  </r>
  <r>
    <x v="0"/>
    <m/>
    <n v="109333"/>
    <s v="Milan Pope"/>
    <d v="2024-05-22T00:00:00"/>
    <m/>
    <x v="1"/>
    <x v="1"/>
    <x v="0"/>
    <d v="2023-08-04T00:00:00"/>
    <s v="Married"/>
    <x v="1"/>
    <x v="2"/>
    <n v="10"/>
    <x v="4"/>
    <x v="3"/>
  </r>
  <r>
    <x v="0"/>
    <m/>
    <n v="165233"/>
    <s v="Randal Mata"/>
    <d v="2024-06-12T00:00:00"/>
    <m/>
    <x v="1"/>
    <x v="1"/>
    <x v="0"/>
    <d v="2023-04-06T00:00:00"/>
    <s v="Single"/>
    <x v="3"/>
    <x v="3"/>
    <n v="1.2"/>
    <x v="4"/>
    <x v="4"/>
  </r>
  <r>
    <x v="0"/>
    <s v="OnRoll"/>
    <n v="103360"/>
    <s v="Pete Arroyo"/>
    <d v="2024-10-04T00:00:00"/>
    <m/>
    <x v="1"/>
    <x v="1"/>
    <x v="1"/>
    <d v="2001-04-01T00:00:00"/>
    <s v="Single"/>
    <x v="3"/>
    <x v="5"/>
    <n v="0.11"/>
    <x v="4"/>
    <x v="4"/>
  </r>
  <r>
    <x v="0"/>
    <m/>
    <n v="168841"/>
    <s v="Jefferson Perry"/>
    <d v="2024-10-04T00:00:00"/>
    <m/>
    <x v="1"/>
    <x v="1"/>
    <x v="0"/>
    <d v="1982-01-03T00:00:00"/>
    <s v="Married"/>
    <x v="2"/>
    <x v="6"/>
    <n v="19"/>
    <x v="4"/>
    <x v="4"/>
  </r>
  <r>
    <x v="1"/>
    <m/>
    <n v="123680"/>
    <s v="Luna Sanders"/>
    <d v="2025-01-01T00:00:00"/>
    <m/>
    <x v="6"/>
    <x v="1"/>
    <x v="1"/>
    <d v="2021-01-15T00:00:00"/>
    <s v="Single"/>
    <x v="3"/>
    <x v="0"/>
    <n v="0"/>
    <x v="5"/>
    <x v="4"/>
  </r>
  <r>
    <x v="0"/>
    <m/>
    <n v="136555"/>
    <s v="Santos Mooney"/>
    <d v="2025-01-05T00:00:00"/>
    <m/>
    <x v="6"/>
    <x v="1"/>
    <x v="0"/>
    <d v="2021-10-03T00:00:00"/>
    <s v="Married"/>
    <x v="2"/>
    <x v="1"/>
    <n v="5"/>
    <x v="5"/>
    <x v="4"/>
  </r>
  <r>
    <x v="0"/>
    <m/>
    <n v="109886"/>
    <s v="Theodore Dinh"/>
    <d v="2025-01-07T00:00:00"/>
    <m/>
    <x v="6"/>
    <x v="1"/>
    <x v="1"/>
    <d v="2021-12-10T00:00:00"/>
    <s v="Married"/>
    <x v="2"/>
    <x v="0"/>
    <n v="14"/>
    <x v="5"/>
    <x v="4"/>
  </r>
  <r>
    <x v="0"/>
    <m/>
    <n v="135596"/>
    <s v="Austin Vo"/>
    <d v="2025-01-14T00:00:00"/>
    <m/>
    <x v="2"/>
    <x v="1"/>
    <x v="0"/>
    <d v="2021-03-14T00:00:00"/>
    <s v="Single"/>
    <x v="1"/>
    <x v="0"/>
    <n v="0"/>
    <x v="5"/>
    <x v="4"/>
  </r>
  <r>
    <x v="0"/>
    <m/>
    <n v="102045"/>
    <s v="Jermaine Benitez"/>
    <d v="2025-03-04T00:00:00"/>
    <m/>
    <x v="1"/>
    <x v="1"/>
    <x v="1"/>
    <d v="2021-01-20T00:00:00"/>
    <s v="Single"/>
    <x v="2"/>
    <x v="1"/>
    <n v="17"/>
    <x v="5"/>
    <x v="4"/>
  </r>
  <r>
    <x v="0"/>
    <m/>
    <n v="137966"/>
    <s v="Joshua Gupta"/>
    <d v="2025-07-14T00:00:00"/>
    <m/>
    <x v="1"/>
    <x v="1"/>
    <x v="0"/>
    <d v="2021-11-07T00:00:00"/>
    <s v="Married"/>
    <x v="1"/>
    <x v="0"/>
    <n v="9"/>
    <x v="5"/>
    <x v="5"/>
  </r>
  <r>
    <x v="0"/>
    <m/>
    <n v="146341"/>
    <s v="Dave Armstrong"/>
    <d v="2025-07-19T00:00:00"/>
    <m/>
    <x v="1"/>
    <x v="1"/>
    <x v="1"/>
    <d v="2021-01-24T00:00:00"/>
    <s v="Married"/>
    <x v="1"/>
    <x v="0"/>
    <n v="13"/>
    <x v="5"/>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A0378A-8092-4ADB-BE17-ADC4FCB5979E}" name="PivotTable6" cacheId="77"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S4:T12"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5"/>
        <item x="2"/>
        <item x="3"/>
        <item x="4"/>
        <item x="6"/>
        <item x="0"/>
        <item x="1"/>
        <item t="default"/>
      </items>
    </pivotField>
    <pivotField showAll="0"/>
    <pivotField showAll="0"/>
    <pivotField numFmtId="165" showAll="0"/>
    <pivotField showAll="0"/>
    <pivotField showAll="0"/>
    <pivotField axis="axisRow" showAll="0">
      <items count="8">
        <item x="1"/>
        <item x="4"/>
        <item x="5"/>
        <item x="2"/>
        <item x="3"/>
        <item x="0"/>
        <item x="6"/>
        <item t="default"/>
      </items>
    </pivotField>
    <pivotField showAll="0"/>
    <pivotField showAll="0"/>
    <pivotField showAll="0"/>
  </pivotFields>
  <rowFields count="1">
    <field x="12"/>
  </rowFields>
  <rowItems count="8">
    <i>
      <x/>
    </i>
    <i>
      <x v="1"/>
    </i>
    <i>
      <x v="2"/>
    </i>
    <i>
      <x v="3"/>
    </i>
    <i>
      <x v="4"/>
    </i>
    <i>
      <x v="5"/>
    </i>
    <i>
      <x v="6"/>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E69ED7-D626-40C0-9E58-8BAF21A74770}" name="PivotTable4" cacheId="77"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O4:P9"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5"/>
        <item x="2"/>
        <item x="3"/>
        <item x="4"/>
        <item x="6"/>
        <item x="0"/>
        <item x="1"/>
        <item t="default"/>
      </items>
    </pivotField>
    <pivotField showAll="0"/>
    <pivotField showAll="0"/>
    <pivotField numFmtId="165" showAll="0"/>
    <pivotField showAll="0"/>
    <pivotField axis="axisRow" showAll="0">
      <items count="5">
        <item x="0"/>
        <item x="2"/>
        <item x="3"/>
        <item x="1"/>
        <item t="default"/>
      </items>
    </pivotField>
    <pivotField showAll="0">
      <items count="8">
        <item x="1"/>
        <item x="4"/>
        <item x="5"/>
        <item x="2"/>
        <item x="3"/>
        <item x="0"/>
        <item x="6"/>
        <item t="default"/>
      </items>
    </pivotField>
    <pivotField showAll="0"/>
    <pivotField showAll="0"/>
    <pivotField showAll="0"/>
  </pivotFields>
  <rowFields count="1">
    <field x="11"/>
  </rowFields>
  <rowItems count="5">
    <i>
      <x/>
    </i>
    <i>
      <x v="1"/>
    </i>
    <i>
      <x v="2"/>
    </i>
    <i>
      <x v="3"/>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3C15F2-4CE0-478F-9F49-9CE80EB4E051}" name="PivotTable2" cacheId="77"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E2:I10" firstHeaderRow="1" firstDataRow="2" firstDataCol="1"/>
  <pivotFields count="16">
    <pivotField axis="axisCol" showAll="0">
      <items count="4">
        <item x="1"/>
        <item x="0"/>
        <item x="2"/>
        <item t="default"/>
      </items>
    </pivotField>
    <pivotField showAll="0"/>
    <pivotField showAll="0"/>
    <pivotField dataField="1" showAll="0"/>
    <pivotField numFmtId="164" showAll="0"/>
    <pivotField showAll="0"/>
    <pivotField showAll="0">
      <items count="8">
        <item x="5"/>
        <item x="2"/>
        <item x="3"/>
        <item x="4"/>
        <item x="6"/>
        <item x="0"/>
        <item x="1"/>
        <item t="default"/>
      </items>
    </pivotField>
    <pivotField showAll="0"/>
    <pivotField showAll="0"/>
    <pivotField numFmtId="165" showAll="0"/>
    <pivotField showAll="0"/>
    <pivotField showAll="0"/>
    <pivotField showAll="0">
      <items count="8">
        <item x="1"/>
        <item x="4"/>
        <item x="5"/>
        <item x="2"/>
        <item x="3"/>
        <item x="0"/>
        <item x="6"/>
        <item t="default"/>
      </items>
    </pivotField>
    <pivotField showAll="0"/>
    <pivotField axis="axisRow" showAll="0">
      <items count="7">
        <item x="0"/>
        <item x="1"/>
        <item x="2"/>
        <item x="3"/>
        <item x="4"/>
        <item x="5"/>
        <item t="default"/>
      </items>
    </pivotField>
    <pivotField showAll="0"/>
  </pivotFields>
  <rowFields count="1">
    <field x="14"/>
  </rowFields>
  <rowItems count="7">
    <i>
      <x/>
    </i>
    <i>
      <x v="1"/>
    </i>
    <i>
      <x v="2"/>
    </i>
    <i>
      <x v="3"/>
    </i>
    <i>
      <x v="4"/>
    </i>
    <i>
      <x v="5"/>
    </i>
    <i t="grand">
      <x/>
    </i>
  </rowItems>
  <colFields count="1">
    <field x="0"/>
  </colFields>
  <colItems count="4">
    <i>
      <x/>
    </i>
    <i>
      <x v="1"/>
    </i>
    <i>
      <x v="2"/>
    </i>
    <i t="grand">
      <x/>
    </i>
  </colItem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AA03B6-0A8B-41D8-93AB-4D3D13380B7C}" name="PivotTable3" cacheId="77"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K4:L7"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5"/>
        <item x="2"/>
        <item x="3"/>
        <item x="4"/>
        <item x="6"/>
        <item x="0"/>
        <item x="1"/>
        <item t="default"/>
      </items>
    </pivotField>
    <pivotField showAll="0"/>
    <pivotField axis="axisRow" showAll="0">
      <items count="3">
        <item x="1"/>
        <item x="0"/>
        <item t="default"/>
      </items>
    </pivotField>
    <pivotField numFmtId="165" showAll="0"/>
    <pivotField showAll="0"/>
    <pivotField showAll="0"/>
    <pivotField showAll="0">
      <items count="8">
        <item x="1"/>
        <item x="4"/>
        <item x="5"/>
        <item x="2"/>
        <item x="3"/>
        <item x="0"/>
        <item x="6"/>
        <item t="default"/>
      </items>
    </pivotField>
    <pivotField showAll="0"/>
    <pivotField showAll="0"/>
    <pivotField showAll="0"/>
  </pivotFields>
  <rowFields count="1">
    <field x="8"/>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231EE1-4462-4123-8F01-6D0024F73AA6}" name="PivotTable8" cacheId="77"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W4:X12"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axis="axisRow" showAll="0" sortType="descending">
      <items count="8">
        <item x="1"/>
        <item x="0"/>
        <item x="6"/>
        <item x="4"/>
        <item x="3"/>
        <item x="2"/>
        <item x="5"/>
        <item t="default"/>
      </items>
      <autoSortScope>
        <pivotArea dataOnly="0" outline="0" fieldPosition="0">
          <references count="1">
            <reference field="4294967294" count="1" selected="0">
              <x v="0"/>
            </reference>
          </references>
        </pivotArea>
      </autoSortScope>
    </pivotField>
    <pivotField showAll="0"/>
    <pivotField showAll="0"/>
    <pivotField numFmtId="165" showAll="0"/>
    <pivotField showAll="0"/>
    <pivotField showAll="0"/>
    <pivotField showAll="0">
      <items count="8">
        <item x="1"/>
        <item x="4"/>
        <item x="5"/>
        <item x="2"/>
        <item x="3"/>
        <item x="0"/>
        <item x="6"/>
        <item t="default"/>
      </items>
    </pivotField>
    <pivotField showAll="0"/>
    <pivotField showAll="0"/>
    <pivotField showAll="0"/>
  </pivotFields>
  <rowFields count="1">
    <field x="6"/>
  </rowFields>
  <rowItems count="8">
    <i>
      <x/>
    </i>
    <i>
      <x v="3"/>
    </i>
    <i>
      <x v="1"/>
    </i>
    <i>
      <x v="6"/>
    </i>
    <i>
      <x v="5"/>
    </i>
    <i>
      <x v="2"/>
    </i>
    <i>
      <x v="4"/>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C01104-F771-48BF-8B60-E6AD00655895}" name="PivotTable10" cacheId="77"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AD4:AE11"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5"/>
        <item x="2"/>
        <item x="3"/>
        <item x="4"/>
        <item x="6"/>
        <item x="0"/>
        <item x="1"/>
        <item t="default"/>
      </items>
    </pivotField>
    <pivotField showAll="0"/>
    <pivotField showAll="0"/>
    <pivotField numFmtId="165" showAll="0"/>
    <pivotField showAll="0"/>
    <pivotField showAll="0"/>
    <pivotField showAll="0">
      <items count="8">
        <item x="1"/>
        <item x="4"/>
        <item x="5"/>
        <item x="2"/>
        <item x="3"/>
        <item x="0"/>
        <item x="6"/>
        <item t="default"/>
      </items>
    </pivotField>
    <pivotField showAll="0"/>
    <pivotField showAll="0"/>
    <pivotField axis="axisRow" showAll="0" sortType="descending">
      <items count="7">
        <item x="0"/>
        <item x="1"/>
        <item x="2"/>
        <item x="3"/>
        <item x="4"/>
        <item x="5"/>
        <item t="default"/>
      </items>
    </pivotField>
  </pivotFields>
  <rowFields count="1">
    <field x="15"/>
  </rowFields>
  <rowItems count="7">
    <i>
      <x/>
    </i>
    <i>
      <x v="1"/>
    </i>
    <i>
      <x v="2"/>
    </i>
    <i>
      <x v="3"/>
    </i>
    <i>
      <x v="4"/>
    </i>
    <i>
      <x v="5"/>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F4F1529-7DA5-46E5-B558-0E3D9F0BB77D}" name="PivotTable9" cacheId="77"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Z4:AA7"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5"/>
        <item x="2"/>
        <item x="3"/>
        <item x="4"/>
        <item x="6"/>
        <item x="0"/>
        <item x="1"/>
        <item t="default"/>
      </items>
    </pivotField>
    <pivotField axis="axisRow" showAll="0">
      <items count="3">
        <item x="0"/>
        <item x="1"/>
        <item t="default"/>
      </items>
    </pivotField>
    <pivotField showAll="0"/>
    <pivotField numFmtId="165" showAll="0"/>
    <pivotField showAll="0"/>
    <pivotField showAll="0"/>
    <pivotField showAll="0">
      <items count="8">
        <item x="1"/>
        <item x="4"/>
        <item x="5"/>
        <item x="2"/>
        <item x="3"/>
        <item x="0"/>
        <item x="6"/>
        <item t="default"/>
      </items>
    </pivotField>
    <pivotField showAll="0"/>
    <pivotField showAll="0"/>
    <pivotField showAll="0"/>
  </pivotFields>
  <rowFields count="1">
    <field x="7"/>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C191F1B-4A2B-4A59-A015-5B9E2496AD64}" sourceName="Department">
  <pivotTables>
    <pivotTable tabId="3" name="PivotTable2"/>
    <pivotTable tabId="3" name="PivotTable10"/>
    <pivotTable tabId="3" name="PivotTable3"/>
    <pivotTable tabId="3" name="PivotTable4"/>
    <pivotTable tabId="3" name="PivotTable6"/>
    <pivotTable tabId="3" name="PivotTable8"/>
    <pivotTable tabId="3" name="PivotTable9"/>
  </pivotTables>
  <data>
    <tabular pivotCacheId="1873915909">
      <items count="7">
        <i x="1" s="1"/>
        <i x="4" s="1"/>
        <i x="5" s="1"/>
        <i x="2" s="1"/>
        <i x="3" s="1"/>
        <i x="0"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ing_Manager" xr10:uid="{A8206A4E-8138-49DC-ABF6-04BF941A1E1C}" sourceName="Reporting Manager">
  <pivotTables>
    <pivotTable tabId="3" name="PivotTable2"/>
    <pivotTable tabId="3" name="PivotTable10"/>
    <pivotTable tabId="3" name="PivotTable3"/>
    <pivotTable tabId="3" name="PivotTable4"/>
    <pivotTable tabId="3" name="PivotTable6"/>
    <pivotTable tabId="3" name="PivotTable8"/>
    <pivotTable tabId="3" name="PivotTable9"/>
  </pivotTables>
  <data>
    <tabular pivotCacheId="1873915909">
      <items count="7">
        <i x="5" s="1"/>
        <i x="2" s="1"/>
        <i x="3" s="1"/>
        <i x="4" s="1"/>
        <i x="6"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72C70EAD-74BC-43D6-8502-4352D5BBC919}" cache="Slicer_Department" caption="Department" style="SlicerStyleDark1" rowHeight="247650"/>
  <slicer name="Reporting Manager" xr10:uid="{A92AE1F7-538E-41BD-8FB7-CFF3EB272C47}" cache="Slicer_Reporting_Manager" caption="Reporting Manager"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4537F669-C03E-4055-8EBA-A51F5A4DFD55}" cache="Slicer_Department" caption="Department" style="Slicer Style 10 2 2 2 3" rowHeight="247650"/>
  <slicer name="Reporting Manager 1" xr10:uid="{B7374265-B4D2-438B-9596-52F434E323EA}" cache="Slicer_Reporting_Manager" caption="Reporting Manager" style="Slicer Style 10 2 2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F5476D-495C-4A3A-BB5D-CF8F959FE902}" name="Table2" displayName="Table2" ref="A1:P172" totalsRowShown="0" headerRowDxfId="19" headerRowBorderDxfId="18" tableBorderDxfId="17" totalsRowBorderDxfId="16">
  <autoFilter ref="A1:P172" xr:uid="{69F5476D-495C-4A3A-BB5D-CF8F959FE902}"/>
  <sortState xmlns:xlrd2="http://schemas.microsoft.com/office/spreadsheetml/2017/richdata2" ref="A2:P172">
    <sortCondition ref="H2:H172"/>
  </sortState>
  <tableColumns count="16">
    <tableColumn id="38" xr3:uid="{87B0625C-2963-4A3A-8454-6CE23AC5A7E0}" name="Emp Status" dataDxfId="15"/>
    <tableColumn id="33" xr3:uid="{549A3582-7299-4BC0-98BC-BFE4A799412E}" name="Movement" dataDxfId="14"/>
    <tableColumn id="16" xr3:uid="{623ABE19-A1BB-497C-955E-445B016AD4C3}" name="Emp Id" dataDxfId="13"/>
    <tableColumn id="17" xr3:uid="{F1BEDDA3-4194-4C1B-AEC6-DD3D17C0AF5E}" name="Name" dataDxfId="12"/>
    <tableColumn id="18" xr3:uid="{40167B1E-1D33-41BC-9CDC-05C0624B4800}" name="Date of Joining" dataDxfId="11"/>
    <tableColumn id="39" xr3:uid="{C86505F9-7D4D-4CDF-A2A5-6475E7361026}" name="Data of Relieving" dataDxfId="10"/>
    <tableColumn id="4" xr3:uid="{D4659B5E-63C6-42E6-823F-59DD13C7EBDE}" name="Reporting Manager" dataDxfId="9"/>
    <tableColumn id="19" xr3:uid="{374572AC-5A05-4113-8D02-2AD5BE9FBEDD}" name="Emp Type" dataDxfId="8"/>
    <tableColumn id="20" xr3:uid="{71EF4DD4-2EE1-48E2-8A6E-3E5207C31659}" name="Category" dataDxfId="7"/>
    <tableColumn id="21" xr3:uid="{075A6894-0B48-4450-9C7C-CF8ED4D5D2C8}" name="Date of Birth" dataDxfId="6"/>
    <tableColumn id="22" xr3:uid="{6D9F7490-E077-48EB-9103-4457925E06D7}" name="Marital status" dataDxfId="5"/>
    <tableColumn id="1" xr3:uid="{5FADB1AD-9B91-48DA-A243-16DC9E49FCCF}" name="Grade" dataDxfId="4"/>
    <tableColumn id="2" xr3:uid="{924FF48E-6E59-4C5D-BB67-03CEB785AF15}" name="Department" dataDxfId="3"/>
    <tableColumn id="30" xr3:uid="{0E004753-8E8B-4551-B080-E1A287121E8A}" name="Total Experience" dataDxfId="2"/>
    <tableColumn id="8" xr3:uid="{D34FC480-00ED-444C-82CF-1060600113A1}" name="Year" dataDxfId="1">
      <calculatedColumnFormula>YEAR(Table2[[#This Row],[Date of Joining]])</calculatedColumnFormula>
    </tableColumn>
    <tableColumn id="10" xr3:uid="{76775B67-06F2-40D3-BCFE-EA2A41C4B4CD}" name="Stability" dataDxfId="0">
      <calculatedColumnFormula>IF(DATEDIF(E2,TODAY(),"Y")&gt;=5,"5+ years",
IF(DATEDIF(E2,TODAY(),"Y")&gt;=4,"4+ years",
IF(DATEDIF(E2,TODAY(),"Y")&gt;=3,"3+ years",
IF(DATEDIF(E2,TODAY(),"Y")&gt;=2,"2+ years",
IF(DATEDIF(E2,TODAY(),"Y")&gt;=1,"1+ years","&lt;1 year")))))</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txDef>
      <a:spPr>
        <a:solidFill>
          <a:schemeClr val="lt1"/>
        </a:solidFill>
        <a:ln w="9525" cmpd="sng">
          <a:solidFill>
            <a:schemeClr val="lt1">
              <a:shade val="50000"/>
            </a:schemeClr>
          </a:solidFill>
        </a:ln>
      </a:spPr>
      <a:bodyPr vertOverflow="clip" horzOverflow="clip" wrap="square" rtlCol="0" anchor="t"/>
      <a:lstStyle>
        <a:defPPr algn="l">
          <a:defRPr sz="1100" b="0" i="0" u="none" strike="noStrike">
            <a:solidFill>
              <a:srgbClr val="000000"/>
            </a:solidFill>
            <a:latin typeface="Aptos Narrow"/>
          </a:defRPr>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hyperlink" Target="mailto:vijay.patil@otis.com" TargetMode="External"/><Relationship Id="rId2" Type="http://schemas.openxmlformats.org/officeDocument/2006/relationships/hyperlink" Target="mailto:Ishwarya.S@otis.com" TargetMode="External"/><Relationship Id="rId1" Type="http://schemas.openxmlformats.org/officeDocument/2006/relationships/hyperlink" Target="mailto:Prashantha.S@otis.com"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C9769-5809-4DFD-AA16-435059F988BA}">
  <sheetPr codeName="Sheet1">
    <tabColor theme="4" tint="0.79998168889431442"/>
  </sheetPr>
  <dimension ref="A1:Z40"/>
  <sheetViews>
    <sheetView showGridLines="0" zoomScale="90" zoomScaleNormal="90" workbookViewId="0"/>
  </sheetViews>
  <sheetFormatPr defaultRowHeight="14.4" x14ac:dyDescent="0.3"/>
  <sheetData>
    <row r="1" spans="1:26" x14ac:dyDescent="0.3">
      <c r="A1" s="22"/>
      <c r="B1" s="22">
        <v>1</v>
      </c>
      <c r="C1" s="22"/>
      <c r="D1" s="22"/>
      <c r="E1" s="22"/>
      <c r="F1" s="22"/>
      <c r="G1" s="22"/>
      <c r="H1" s="22"/>
      <c r="I1" s="22"/>
      <c r="J1" s="22"/>
      <c r="K1" s="22"/>
      <c r="L1" s="22"/>
      <c r="M1" s="22"/>
      <c r="N1" s="22"/>
      <c r="O1" s="22"/>
      <c r="P1" s="22"/>
      <c r="Q1" s="22"/>
      <c r="R1" s="22"/>
      <c r="S1" s="22"/>
      <c r="T1" s="22"/>
      <c r="U1" s="22"/>
      <c r="V1" s="22"/>
      <c r="W1" s="22"/>
    </row>
    <row r="2" spans="1:26" x14ac:dyDescent="0.3">
      <c r="A2" s="22"/>
      <c r="B2" s="22"/>
      <c r="C2" s="22"/>
      <c r="D2" s="22"/>
      <c r="E2" s="22"/>
      <c r="F2" s="22"/>
      <c r="G2" s="22"/>
      <c r="H2" s="22"/>
      <c r="I2" s="22"/>
      <c r="J2" s="22"/>
      <c r="K2" s="22"/>
      <c r="L2" s="22"/>
      <c r="M2" s="22"/>
      <c r="N2" s="22"/>
      <c r="O2" s="22"/>
      <c r="P2" s="22"/>
      <c r="Q2" s="22"/>
      <c r="R2" s="22"/>
      <c r="S2" s="22"/>
      <c r="T2" s="22"/>
      <c r="U2" s="22"/>
      <c r="V2" s="22"/>
      <c r="W2" s="22"/>
    </row>
    <row r="3" spans="1:26" x14ac:dyDescent="0.3">
      <c r="A3" s="22"/>
      <c r="B3" s="22"/>
      <c r="C3" s="22"/>
      <c r="D3" s="22"/>
      <c r="E3" s="22"/>
      <c r="F3" s="22"/>
      <c r="G3" s="22"/>
      <c r="H3" s="22"/>
      <c r="I3" s="22"/>
      <c r="J3" s="22"/>
      <c r="K3" s="22"/>
      <c r="L3" s="22"/>
      <c r="M3" s="22"/>
      <c r="N3" s="22"/>
      <c r="O3" s="22"/>
      <c r="P3" s="22"/>
      <c r="Q3" s="22"/>
      <c r="R3" s="22"/>
      <c r="S3" s="22"/>
      <c r="T3" s="22"/>
      <c r="U3" s="22"/>
      <c r="V3" s="22"/>
      <c r="W3" s="22"/>
    </row>
    <row r="4" spans="1:26" x14ac:dyDescent="0.3">
      <c r="A4" s="22"/>
      <c r="B4" s="22"/>
      <c r="C4" s="22"/>
      <c r="D4" s="22"/>
      <c r="E4" s="22"/>
      <c r="F4" s="22"/>
      <c r="G4" s="22"/>
      <c r="H4" s="22"/>
      <c r="I4" s="22"/>
      <c r="J4" s="22"/>
      <c r="K4" s="22"/>
      <c r="L4" s="22"/>
      <c r="M4" s="22"/>
      <c r="N4" s="22"/>
      <c r="O4" s="22"/>
      <c r="P4" s="22"/>
      <c r="Q4" s="22"/>
      <c r="R4" s="22"/>
      <c r="S4" s="22"/>
      <c r="T4" s="22"/>
      <c r="U4" s="22"/>
      <c r="V4" s="22"/>
      <c r="W4" s="22"/>
    </row>
    <row r="5" spans="1:26" x14ac:dyDescent="0.3">
      <c r="A5" s="22"/>
      <c r="B5" s="22"/>
      <c r="C5" s="22"/>
      <c r="D5" s="22"/>
      <c r="E5" s="22"/>
      <c r="F5" s="22"/>
      <c r="G5" s="22"/>
      <c r="H5" s="22"/>
      <c r="I5" s="22"/>
      <c r="J5" s="22"/>
      <c r="K5" s="22"/>
      <c r="L5" s="22"/>
      <c r="M5" s="22"/>
      <c r="N5" s="22"/>
      <c r="O5" s="22"/>
      <c r="P5" s="22"/>
      <c r="Q5" s="22"/>
      <c r="R5" s="22"/>
      <c r="S5" s="22"/>
      <c r="T5" s="22"/>
      <c r="U5" s="22"/>
      <c r="V5" s="22"/>
      <c r="W5" s="22"/>
    </row>
    <row r="6" spans="1:26" x14ac:dyDescent="0.3">
      <c r="A6" s="22"/>
      <c r="B6" s="22"/>
      <c r="C6" s="22"/>
      <c r="D6" s="22"/>
      <c r="E6" s="22"/>
      <c r="F6" s="22"/>
      <c r="G6" s="22"/>
      <c r="H6" s="22"/>
      <c r="I6" s="22"/>
      <c r="J6" s="22"/>
      <c r="K6" s="22"/>
      <c r="L6" s="22"/>
      <c r="M6" s="22"/>
      <c r="N6" s="22"/>
      <c r="O6" s="22"/>
      <c r="P6" s="22"/>
      <c r="Q6" s="22"/>
      <c r="R6" s="22"/>
      <c r="S6" s="22"/>
      <c r="T6" s="22"/>
      <c r="U6" s="22"/>
      <c r="V6" s="22"/>
      <c r="W6" s="22"/>
    </row>
    <row r="7" spans="1:26" x14ac:dyDescent="0.3">
      <c r="A7" s="22"/>
      <c r="B7" s="22"/>
      <c r="C7" s="22"/>
      <c r="D7" s="22"/>
      <c r="E7" s="22"/>
      <c r="F7" s="22"/>
      <c r="G7" s="22"/>
      <c r="H7" s="22"/>
      <c r="I7" s="22"/>
      <c r="J7" s="22"/>
      <c r="K7" s="22"/>
      <c r="L7" s="22"/>
      <c r="M7" s="22"/>
      <c r="N7" s="22"/>
      <c r="O7" s="22"/>
      <c r="P7" s="22"/>
      <c r="Q7" s="22"/>
      <c r="R7" s="22"/>
      <c r="S7" s="22"/>
      <c r="T7" s="22"/>
      <c r="U7" s="22"/>
      <c r="W7" s="22"/>
    </row>
    <row r="8" spans="1:26" x14ac:dyDescent="0.3">
      <c r="A8" s="22"/>
      <c r="B8" s="22"/>
      <c r="C8" s="22"/>
      <c r="D8" s="22"/>
      <c r="E8" s="22"/>
      <c r="F8" s="22"/>
      <c r="G8" s="22"/>
      <c r="H8" s="22"/>
      <c r="I8" s="22"/>
      <c r="J8" s="22"/>
      <c r="K8" s="22"/>
      <c r="L8" s="22"/>
      <c r="M8" s="22"/>
      <c r="N8" s="22"/>
      <c r="O8" s="22"/>
      <c r="P8" s="22"/>
      <c r="Q8" s="22"/>
      <c r="R8" s="22"/>
      <c r="S8" s="22"/>
      <c r="T8" s="22"/>
      <c r="U8" s="22"/>
      <c r="V8" s="22"/>
      <c r="W8" s="22"/>
    </row>
    <row r="9" spans="1:26" x14ac:dyDescent="0.3">
      <c r="A9" s="22"/>
      <c r="B9" s="22"/>
      <c r="C9" s="22"/>
      <c r="D9" s="22"/>
      <c r="E9" s="22"/>
      <c r="F9" s="22"/>
      <c r="G9" s="22"/>
      <c r="H9" s="22"/>
      <c r="I9" s="22"/>
      <c r="J9" s="22"/>
      <c r="K9" s="22"/>
      <c r="L9" s="22"/>
      <c r="M9" s="22"/>
      <c r="N9" s="22"/>
      <c r="O9" s="22"/>
      <c r="P9" s="22"/>
      <c r="Q9" s="22"/>
      <c r="R9" s="22"/>
      <c r="S9" s="22"/>
      <c r="T9" s="22"/>
      <c r="U9" s="22"/>
      <c r="V9" s="22"/>
      <c r="W9" s="22"/>
      <c r="Z9" t="s">
        <v>254</v>
      </c>
    </row>
    <row r="10" spans="1:26" x14ac:dyDescent="0.3">
      <c r="A10" s="22"/>
      <c r="B10" s="22"/>
      <c r="C10" s="22"/>
      <c r="D10" s="22"/>
      <c r="E10" s="22"/>
      <c r="F10" s="22"/>
      <c r="G10" s="22"/>
      <c r="H10" s="22"/>
      <c r="I10" s="22"/>
      <c r="J10" s="22"/>
      <c r="K10" s="22"/>
      <c r="L10" s="22"/>
      <c r="M10" s="22"/>
      <c r="N10" s="22"/>
      <c r="O10" s="22"/>
      <c r="P10" s="22"/>
      <c r="Q10" s="22"/>
      <c r="R10" s="22"/>
      <c r="S10" s="22"/>
      <c r="T10" s="22"/>
      <c r="U10" s="22"/>
      <c r="V10" s="22"/>
      <c r="W10" s="22"/>
      <c r="X10" s="18"/>
    </row>
    <row r="11" spans="1:26" x14ac:dyDescent="0.3">
      <c r="A11" s="22"/>
      <c r="B11" s="22"/>
      <c r="C11" s="22"/>
      <c r="D11" s="22"/>
      <c r="E11" s="22"/>
      <c r="F11" s="22"/>
      <c r="G11" s="22"/>
      <c r="H11" s="22"/>
      <c r="I11" s="22"/>
      <c r="J11" s="22"/>
      <c r="K11" s="22"/>
      <c r="L11" s="22"/>
      <c r="M11" s="22"/>
      <c r="N11" s="22"/>
      <c r="O11" s="22"/>
      <c r="P11" s="22"/>
      <c r="Q11" s="22"/>
      <c r="R11" s="22"/>
      <c r="S11" s="22"/>
      <c r="T11" s="22"/>
      <c r="U11" s="22"/>
      <c r="V11" s="23"/>
      <c r="W11" s="22"/>
    </row>
    <row r="12" spans="1:26" x14ac:dyDescent="0.3">
      <c r="A12" s="22"/>
      <c r="B12" s="22"/>
      <c r="C12" s="22"/>
      <c r="D12" s="22"/>
      <c r="E12" s="22"/>
      <c r="F12" s="22"/>
      <c r="G12" s="22"/>
      <c r="H12" s="22"/>
      <c r="I12" s="22"/>
      <c r="J12" s="22"/>
      <c r="K12" s="22"/>
      <c r="L12" s="22"/>
      <c r="M12" s="22"/>
      <c r="N12" s="22"/>
      <c r="O12" s="22"/>
      <c r="P12" s="22"/>
      <c r="Q12" s="22"/>
      <c r="R12" s="22"/>
      <c r="S12" s="22"/>
      <c r="T12" s="22"/>
      <c r="U12" s="22"/>
      <c r="V12" s="22"/>
      <c r="W12" s="22"/>
    </row>
    <row r="13" spans="1:26" x14ac:dyDescent="0.3">
      <c r="A13" s="22"/>
      <c r="B13" s="22"/>
      <c r="C13" s="22"/>
      <c r="D13" s="22"/>
      <c r="E13" s="22"/>
      <c r="F13" s="22"/>
      <c r="G13" s="22"/>
      <c r="H13" s="22"/>
      <c r="I13" s="22"/>
      <c r="J13" s="22"/>
      <c r="K13" s="22"/>
      <c r="L13" s="22"/>
      <c r="M13" s="22"/>
      <c r="N13" s="22"/>
      <c r="O13" s="22"/>
      <c r="P13" s="22"/>
      <c r="Q13" s="22"/>
      <c r="R13" s="22"/>
      <c r="S13" s="22"/>
      <c r="T13" s="22"/>
      <c r="U13" s="22"/>
      <c r="V13" s="22"/>
      <c r="W13" s="22"/>
    </row>
    <row r="14" spans="1:26" x14ac:dyDescent="0.3">
      <c r="A14" s="22"/>
      <c r="B14" s="22"/>
      <c r="C14" s="22"/>
      <c r="D14" s="22"/>
      <c r="E14" s="22"/>
      <c r="F14" s="22"/>
      <c r="G14" s="22"/>
      <c r="H14" s="22"/>
      <c r="I14" s="22"/>
      <c r="J14" s="22"/>
      <c r="K14" s="22"/>
      <c r="L14" s="22"/>
      <c r="M14" s="22"/>
      <c r="N14" s="22"/>
      <c r="O14" s="22"/>
      <c r="P14" s="22"/>
      <c r="Q14" s="22"/>
      <c r="R14" s="22"/>
      <c r="S14" s="22"/>
      <c r="T14" s="22"/>
      <c r="U14" s="22"/>
      <c r="V14" s="22"/>
      <c r="W14" s="22"/>
    </row>
    <row r="15" spans="1:26" x14ac:dyDescent="0.3">
      <c r="A15" s="22"/>
      <c r="B15" s="22"/>
      <c r="C15" s="22"/>
      <c r="D15" s="22"/>
      <c r="E15" s="22"/>
      <c r="F15" s="22"/>
      <c r="G15" s="22"/>
      <c r="H15" s="22"/>
      <c r="I15" s="22"/>
      <c r="J15" s="22"/>
      <c r="K15" s="22"/>
      <c r="L15" s="22"/>
      <c r="M15" s="22"/>
      <c r="N15" s="22"/>
      <c r="O15" s="22"/>
      <c r="P15" s="22"/>
      <c r="Q15" s="22"/>
      <c r="R15" s="22"/>
      <c r="S15" s="22"/>
      <c r="T15" s="22"/>
      <c r="U15" s="22"/>
      <c r="V15" s="22"/>
      <c r="W15" s="22"/>
    </row>
    <row r="16" spans="1:26" x14ac:dyDescent="0.3">
      <c r="A16" s="22"/>
      <c r="B16" s="22"/>
      <c r="C16" s="22"/>
      <c r="D16" s="22"/>
      <c r="E16" s="22"/>
      <c r="F16" s="22"/>
      <c r="G16" s="22"/>
      <c r="H16" s="22"/>
      <c r="I16" s="22"/>
      <c r="J16" s="22"/>
      <c r="K16" s="22"/>
      <c r="L16" s="22"/>
      <c r="M16" s="22"/>
      <c r="N16" s="22"/>
      <c r="O16" s="22"/>
      <c r="P16" s="22"/>
      <c r="Q16" s="22"/>
      <c r="R16" s="22"/>
      <c r="S16" s="22"/>
      <c r="T16" s="22"/>
      <c r="U16" s="22"/>
      <c r="V16" s="22"/>
      <c r="W16" s="22"/>
    </row>
    <row r="17" spans="1:24" x14ac:dyDescent="0.3">
      <c r="A17" s="22"/>
      <c r="B17" s="22"/>
      <c r="C17" s="22"/>
      <c r="D17" s="22"/>
      <c r="E17" s="22"/>
      <c r="F17" s="22"/>
      <c r="G17" s="22"/>
      <c r="H17" s="22"/>
      <c r="I17" s="22"/>
      <c r="J17" s="22"/>
      <c r="K17" s="22"/>
      <c r="L17" s="22"/>
      <c r="M17" s="22"/>
      <c r="N17" s="22"/>
      <c r="O17" s="22"/>
      <c r="P17" s="22"/>
      <c r="Q17" s="22"/>
      <c r="R17" s="22"/>
      <c r="S17" s="22"/>
      <c r="T17" s="22"/>
      <c r="U17" s="22"/>
      <c r="V17" s="22"/>
      <c r="W17" s="22"/>
    </row>
    <row r="18" spans="1:24" x14ac:dyDescent="0.3">
      <c r="A18" s="22"/>
      <c r="B18" s="22"/>
      <c r="C18" s="22"/>
      <c r="D18" s="22"/>
      <c r="E18" s="22"/>
      <c r="F18" s="22"/>
      <c r="G18" s="22"/>
      <c r="H18" s="22"/>
      <c r="I18" s="22"/>
      <c r="J18" s="22"/>
      <c r="K18" s="22"/>
      <c r="L18" s="22"/>
      <c r="M18" s="22"/>
      <c r="N18" s="22"/>
      <c r="O18" s="22"/>
      <c r="P18" s="22"/>
      <c r="Q18" s="22"/>
      <c r="R18" s="22"/>
      <c r="S18" s="22"/>
      <c r="T18" s="22"/>
      <c r="U18" s="22"/>
      <c r="V18" s="22"/>
      <c r="W18" s="22"/>
    </row>
    <row r="19" spans="1:24" x14ac:dyDescent="0.3">
      <c r="A19" s="22"/>
      <c r="B19" s="22"/>
      <c r="C19" s="22"/>
      <c r="D19" s="22"/>
      <c r="E19" s="22"/>
      <c r="F19" s="22"/>
      <c r="G19" s="22"/>
      <c r="H19" s="22"/>
      <c r="I19" s="22"/>
      <c r="J19" s="22"/>
      <c r="K19" s="22"/>
      <c r="L19" s="22"/>
      <c r="M19" s="22"/>
      <c r="N19" s="22"/>
      <c r="O19" s="22"/>
      <c r="P19" s="22"/>
      <c r="Q19" s="22"/>
      <c r="R19" s="22"/>
      <c r="S19" s="22"/>
      <c r="T19" s="22"/>
      <c r="U19" s="22"/>
      <c r="V19" s="22"/>
      <c r="W19" s="22"/>
    </row>
    <row r="20" spans="1:24" x14ac:dyDescent="0.3">
      <c r="A20" s="22"/>
      <c r="B20" s="22"/>
      <c r="C20" s="22"/>
      <c r="D20" s="22"/>
      <c r="E20" s="22"/>
      <c r="F20" s="22"/>
      <c r="G20" s="22"/>
      <c r="H20" s="22"/>
      <c r="I20" s="22"/>
      <c r="J20" s="22"/>
      <c r="K20" s="22"/>
      <c r="L20" s="22"/>
      <c r="M20" s="22"/>
      <c r="N20" s="22"/>
      <c r="O20" s="22"/>
      <c r="P20" s="22"/>
      <c r="Q20" s="22"/>
      <c r="R20" s="22"/>
      <c r="S20" s="22"/>
      <c r="T20" s="22"/>
      <c r="U20" s="22"/>
      <c r="V20" s="22"/>
      <c r="W20" s="22"/>
    </row>
    <row r="21" spans="1:24" x14ac:dyDescent="0.3">
      <c r="A21" s="22"/>
      <c r="B21" s="22"/>
      <c r="C21" s="22"/>
      <c r="D21" s="22"/>
      <c r="E21" s="22"/>
      <c r="F21" s="22"/>
      <c r="G21" s="22"/>
      <c r="H21" s="22"/>
      <c r="I21" s="22"/>
      <c r="J21" s="22"/>
      <c r="K21" s="22"/>
      <c r="L21" s="22"/>
      <c r="M21" s="22"/>
      <c r="N21" s="22"/>
      <c r="O21" s="22"/>
      <c r="P21" s="22"/>
      <c r="Q21" s="22"/>
      <c r="R21" s="22"/>
      <c r="S21" s="22"/>
      <c r="T21" s="22"/>
      <c r="U21" s="22"/>
      <c r="V21" s="22"/>
      <c r="W21" s="22"/>
      <c r="X21" s="22"/>
    </row>
    <row r="22" spans="1:24" x14ac:dyDescent="0.3">
      <c r="A22" s="22"/>
      <c r="B22" s="22"/>
      <c r="C22" s="22"/>
      <c r="D22" s="22"/>
      <c r="E22" s="22"/>
      <c r="F22" s="22"/>
      <c r="G22" s="22"/>
      <c r="H22" s="22"/>
      <c r="I22" s="22"/>
      <c r="J22" s="22"/>
      <c r="K22" s="22"/>
      <c r="L22" s="22"/>
      <c r="M22" s="22"/>
      <c r="N22" s="22"/>
      <c r="O22" s="22"/>
      <c r="P22" s="22"/>
      <c r="Q22" s="22"/>
      <c r="R22" s="22"/>
      <c r="S22" s="22"/>
      <c r="T22" s="22"/>
      <c r="U22" s="22"/>
      <c r="V22" s="22"/>
      <c r="W22" s="22"/>
    </row>
    <row r="23" spans="1:24" x14ac:dyDescent="0.3">
      <c r="A23" s="22"/>
      <c r="B23" s="22"/>
      <c r="C23" s="22"/>
      <c r="D23" s="22"/>
      <c r="E23" s="22"/>
      <c r="F23" s="22"/>
      <c r="G23" s="22"/>
      <c r="H23" s="22"/>
      <c r="I23" s="22"/>
      <c r="J23" s="22"/>
      <c r="K23" s="22"/>
      <c r="L23" s="22"/>
      <c r="M23" s="22"/>
      <c r="N23" s="22"/>
      <c r="O23" s="22"/>
      <c r="P23" s="22"/>
      <c r="Q23" s="22"/>
      <c r="R23" s="22"/>
      <c r="S23" s="22"/>
      <c r="T23" s="22"/>
      <c r="U23" s="22"/>
      <c r="V23" s="22"/>
      <c r="W23" s="22"/>
    </row>
    <row r="24" spans="1:24" x14ac:dyDescent="0.3">
      <c r="A24" s="22"/>
      <c r="B24" s="22"/>
      <c r="C24" s="22"/>
      <c r="D24" s="22"/>
      <c r="E24" s="22"/>
      <c r="F24" s="22"/>
      <c r="G24" s="22"/>
      <c r="H24" s="22"/>
      <c r="I24" s="22"/>
      <c r="J24" s="22"/>
      <c r="K24" s="22"/>
      <c r="L24" s="22"/>
      <c r="M24" s="22"/>
      <c r="N24" s="22"/>
      <c r="O24" s="22"/>
      <c r="P24" s="22"/>
      <c r="Q24" s="22"/>
      <c r="R24" s="22"/>
      <c r="S24" s="22"/>
      <c r="T24" s="22"/>
      <c r="U24" s="22"/>
      <c r="V24" s="22"/>
      <c r="W24" s="22"/>
    </row>
    <row r="25" spans="1:24" x14ac:dyDescent="0.3">
      <c r="A25" s="22"/>
      <c r="B25" s="22"/>
      <c r="C25" s="22"/>
      <c r="D25" s="22"/>
      <c r="E25" s="22"/>
      <c r="F25" s="22"/>
      <c r="G25" s="22"/>
      <c r="H25" s="22"/>
      <c r="I25" s="22"/>
      <c r="J25" s="22"/>
      <c r="K25" s="22"/>
      <c r="L25" s="22"/>
      <c r="M25" s="22"/>
      <c r="N25" s="22"/>
      <c r="O25" s="22"/>
      <c r="P25" s="22"/>
      <c r="Q25" s="22"/>
      <c r="R25" s="22"/>
      <c r="S25" s="22"/>
      <c r="T25" s="22"/>
      <c r="U25" s="22"/>
      <c r="V25" s="22"/>
      <c r="W25" s="22"/>
    </row>
    <row r="26" spans="1:24" x14ac:dyDescent="0.3">
      <c r="A26" s="22"/>
      <c r="B26" s="22"/>
      <c r="C26" s="22"/>
      <c r="D26" s="22"/>
      <c r="E26" s="22"/>
      <c r="F26" s="22"/>
      <c r="G26" s="22"/>
      <c r="H26" s="22"/>
      <c r="I26" s="22"/>
      <c r="J26" s="22"/>
      <c r="K26" s="22"/>
      <c r="L26" s="22"/>
      <c r="M26" s="22"/>
      <c r="N26" s="22"/>
      <c r="O26" s="22"/>
      <c r="P26" s="22"/>
      <c r="Q26" s="22"/>
      <c r="R26" s="22"/>
      <c r="S26" s="22"/>
      <c r="T26" s="22"/>
      <c r="U26" s="22"/>
      <c r="V26" s="22"/>
      <c r="W26" s="22"/>
    </row>
    <row r="27" spans="1:24" x14ac:dyDescent="0.3">
      <c r="A27" s="22"/>
      <c r="B27" s="22"/>
      <c r="C27" s="22"/>
      <c r="D27" s="22"/>
      <c r="E27" s="22"/>
      <c r="F27" s="22"/>
      <c r="G27" s="22"/>
      <c r="H27" s="22"/>
      <c r="I27" s="22"/>
      <c r="J27" s="22"/>
      <c r="K27" s="22"/>
      <c r="L27" s="22"/>
      <c r="M27" s="22"/>
      <c r="N27" s="22"/>
      <c r="O27" s="22"/>
      <c r="P27" s="22"/>
      <c r="Q27" s="22"/>
      <c r="R27" s="22"/>
      <c r="S27" s="22"/>
      <c r="T27" s="22"/>
      <c r="U27" s="22"/>
      <c r="V27" s="22"/>
      <c r="W27" s="22"/>
    </row>
    <row r="28" spans="1:24" x14ac:dyDescent="0.3">
      <c r="A28" s="22"/>
      <c r="B28" s="22"/>
      <c r="C28" s="22"/>
      <c r="D28" s="22"/>
      <c r="E28" s="22"/>
      <c r="F28" s="22"/>
      <c r="G28" s="22"/>
      <c r="H28" s="22"/>
      <c r="I28" s="22"/>
      <c r="J28" s="22"/>
      <c r="K28" s="22"/>
      <c r="L28" s="22"/>
      <c r="M28" s="22"/>
      <c r="N28" s="22"/>
      <c r="O28" s="22"/>
      <c r="P28" s="22"/>
      <c r="Q28" s="22"/>
      <c r="R28" s="22"/>
      <c r="S28" s="22"/>
      <c r="T28" s="22"/>
      <c r="U28" s="22"/>
      <c r="V28" s="22"/>
      <c r="W28" s="22"/>
    </row>
    <row r="29" spans="1:24" x14ac:dyDescent="0.3">
      <c r="A29" s="22"/>
      <c r="B29" s="22"/>
      <c r="C29" s="22"/>
      <c r="D29" s="22"/>
      <c r="E29" s="22"/>
      <c r="F29" s="22"/>
      <c r="G29" s="22"/>
      <c r="H29" s="22"/>
      <c r="I29" s="22"/>
      <c r="J29" s="22"/>
      <c r="K29" s="22"/>
      <c r="L29" s="22"/>
      <c r="M29" s="22"/>
      <c r="N29" s="22"/>
      <c r="O29" s="22"/>
      <c r="P29" s="22"/>
      <c r="Q29" s="22"/>
      <c r="R29" s="22"/>
      <c r="S29" s="22"/>
      <c r="T29" s="22"/>
      <c r="U29" s="22"/>
      <c r="V29" s="22"/>
      <c r="W29" s="22"/>
    </row>
    <row r="30" spans="1:24" x14ac:dyDescent="0.3">
      <c r="A30" s="22"/>
      <c r="B30" s="22"/>
      <c r="C30" s="22"/>
      <c r="D30" s="22"/>
      <c r="E30" s="22"/>
      <c r="F30" s="22"/>
      <c r="G30" s="22"/>
      <c r="H30" s="22"/>
      <c r="I30" s="22"/>
      <c r="J30" s="22"/>
      <c r="K30" s="22"/>
      <c r="L30" s="22"/>
      <c r="M30" s="22"/>
      <c r="N30" s="22"/>
      <c r="O30" s="22"/>
      <c r="P30" s="22"/>
      <c r="Q30" s="22"/>
      <c r="R30" s="22"/>
      <c r="S30" s="22"/>
      <c r="T30" s="22"/>
      <c r="U30" s="22"/>
      <c r="V30" s="22"/>
      <c r="W30" s="22"/>
    </row>
    <row r="31" spans="1:24" x14ac:dyDescent="0.3">
      <c r="A31" s="22"/>
      <c r="B31" s="22"/>
      <c r="C31" s="22"/>
      <c r="D31" s="22"/>
      <c r="E31" s="22"/>
      <c r="F31" s="22"/>
      <c r="G31" s="22"/>
      <c r="H31" s="22"/>
      <c r="I31" s="22"/>
      <c r="J31" s="22"/>
      <c r="K31" s="22"/>
      <c r="L31" s="22"/>
      <c r="M31" s="22"/>
      <c r="N31" s="22"/>
      <c r="O31" s="22"/>
      <c r="P31" s="22"/>
      <c r="Q31" s="22"/>
      <c r="R31" s="22"/>
      <c r="S31" s="22"/>
      <c r="T31" s="22"/>
      <c r="U31" s="22"/>
      <c r="V31" s="22"/>
      <c r="W31" s="22"/>
    </row>
    <row r="32" spans="1:24" x14ac:dyDescent="0.3">
      <c r="A32" s="22"/>
      <c r="B32" s="22"/>
      <c r="C32" s="22"/>
      <c r="D32" s="22"/>
      <c r="E32" s="22"/>
      <c r="F32" s="22"/>
      <c r="G32" s="22"/>
      <c r="H32" s="22"/>
      <c r="I32" s="22"/>
      <c r="J32" s="22"/>
      <c r="K32" s="22"/>
      <c r="L32" s="22"/>
      <c r="M32" s="22"/>
      <c r="N32" s="22"/>
      <c r="O32" s="22"/>
      <c r="P32" s="22"/>
      <c r="Q32" s="22"/>
      <c r="R32" s="22"/>
      <c r="S32" s="22"/>
      <c r="T32" s="22"/>
      <c r="U32" s="22"/>
      <c r="V32" s="22"/>
      <c r="W32" s="22"/>
    </row>
    <row r="33" spans="1:23" x14ac:dyDescent="0.3">
      <c r="A33" s="22"/>
      <c r="B33" s="22"/>
      <c r="C33" s="22"/>
      <c r="D33" s="22"/>
      <c r="E33" s="22"/>
      <c r="F33" s="22"/>
      <c r="G33" s="22"/>
      <c r="H33" s="22"/>
      <c r="I33" s="22"/>
      <c r="J33" s="22"/>
      <c r="K33" s="22"/>
      <c r="L33" s="22"/>
      <c r="M33" s="22"/>
      <c r="N33" s="22"/>
      <c r="O33" s="22"/>
      <c r="P33" s="22"/>
      <c r="Q33" s="22"/>
      <c r="R33" s="22"/>
      <c r="S33" s="22"/>
      <c r="T33" s="22"/>
      <c r="U33" s="22"/>
      <c r="V33" s="22"/>
      <c r="W33" s="22"/>
    </row>
    <row r="34" spans="1:23" x14ac:dyDescent="0.3">
      <c r="A34" s="22"/>
      <c r="B34" s="22"/>
      <c r="C34" s="22"/>
      <c r="D34" s="22"/>
      <c r="E34" s="22"/>
      <c r="F34" s="22"/>
      <c r="G34" s="22"/>
      <c r="H34" s="22"/>
      <c r="I34" s="22"/>
      <c r="J34" s="22"/>
      <c r="K34" s="22"/>
      <c r="L34" s="22"/>
      <c r="M34" s="22"/>
      <c r="N34" s="22"/>
      <c r="O34" s="22"/>
      <c r="P34" s="22"/>
      <c r="Q34" s="22"/>
      <c r="R34" s="22"/>
      <c r="S34" s="22"/>
      <c r="T34" s="22"/>
      <c r="U34" s="22"/>
      <c r="V34" s="22"/>
      <c r="W34" s="22"/>
    </row>
    <row r="35" spans="1:23" x14ac:dyDescent="0.3">
      <c r="A35" s="22"/>
      <c r="B35" s="22"/>
      <c r="C35" s="22"/>
      <c r="D35" s="22"/>
      <c r="E35" s="22"/>
      <c r="F35" s="22"/>
      <c r="G35" s="22"/>
      <c r="H35" s="22"/>
      <c r="I35" s="22"/>
      <c r="J35" s="22"/>
      <c r="K35" s="22"/>
      <c r="L35" s="22"/>
      <c r="M35" s="22"/>
      <c r="N35" s="22"/>
      <c r="O35" s="22"/>
      <c r="P35" s="22"/>
      <c r="Q35" s="22"/>
      <c r="R35" s="22"/>
      <c r="S35" s="22"/>
      <c r="T35" s="22"/>
      <c r="U35" s="22"/>
      <c r="V35" s="22"/>
      <c r="W35" s="22"/>
    </row>
    <row r="36" spans="1:23" x14ac:dyDescent="0.3">
      <c r="A36" s="22"/>
      <c r="B36" s="22"/>
      <c r="C36" s="22"/>
      <c r="D36" s="22"/>
      <c r="E36" s="22"/>
      <c r="F36" s="22"/>
      <c r="G36" s="22"/>
      <c r="H36" s="22"/>
      <c r="I36" s="22"/>
      <c r="J36" s="22"/>
      <c r="K36" s="22"/>
      <c r="L36" s="22"/>
      <c r="M36" s="22"/>
      <c r="N36" s="22"/>
      <c r="O36" s="22"/>
      <c r="P36" s="22"/>
      <c r="Q36" s="22"/>
      <c r="R36" s="22"/>
      <c r="S36" s="22"/>
      <c r="T36" s="22"/>
      <c r="U36" s="22"/>
      <c r="V36" s="22"/>
      <c r="W36" s="22"/>
    </row>
    <row r="37" spans="1:23" x14ac:dyDescent="0.3">
      <c r="A37" s="22"/>
      <c r="B37" s="22"/>
      <c r="C37" s="22"/>
      <c r="D37" s="22"/>
      <c r="E37" s="22"/>
      <c r="F37" s="22"/>
      <c r="G37" s="22"/>
      <c r="H37" s="22"/>
      <c r="I37" s="22"/>
      <c r="J37" s="22"/>
      <c r="K37" s="22"/>
      <c r="L37" s="22"/>
      <c r="M37" s="22"/>
      <c r="N37" s="22"/>
      <c r="O37" s="22"/>
      <c r="P37" s="22"/>
      <c r="Q37" s="22"/>
      <c r="R37" s="22"/>
      <c r="S37" s="22"/>
      <c r="T37" s="22"/>
      <c r="U37" s="22"/>
      <c r="V37" s="22"/>
      <c r="W37" s="22"/>
    </row>
    <row r="38" spans="1:23" x14ac:dyDescent="0.3">
      <c r="A38" s="22"/>
      <c r="B38" s="22"/>
      <c r="C38" s="22"/>
      <c r="D38" s="22"/>
      <c r="E38" s="22"/>
      <c r="F38" s="22"/>
      <c r="G38" s="22"/>
      <c r="H38" s="22"/>
      <c r="I38" s="22"/>
      <c r="J38" s="22"/>
      <c r="K38" s="22"/>
      <c r="L38" s="22"/>
      <c r="M38" s="22"/>
      <c r="N38" s="22"/>
      <c r="O38" s="22"/>
      <c r="P38" s="22"/>
      <c r="Q38" s="22"/>
      <c r="R38" s="22"/>
      <c r="S38" s="22"/>
      <c r="T38" s="22"/>
      <c r="U38" s="22"/>
      <c r="V38" s="22"/>
      <c r="W38" s="22"/>
    </row>
    <row r="39" spans="1:23" x14ac:dyDescent="0.3">
      <c r="A39" s="22"/>
      <c r="B39" s="22"/>
      <c r="C39" s="22"/>
      <c r="D39" s="22"/>
      <c r="E39" s="22"/>
      <c r="F39" s="22"/>
      <c r="G39" s="22"/>
      <c r="H39" s="22"/>
      <c r="I39" s="22"/>
      <c r="J39" s="22"/>
      <c r="K39" s="22"/>
      <c r="L39" s="22"/>
      <c r="M39" s="22"/>
      <c r="N39" s="22"/>
      <c r="O39" s="22"/>
      <c r="P39" s="22"/>
      <c r="Q39" s="22"/>
      <c r="R39" s="22"/>
      <c r="S39" s="22"/>
      <c r="T39" s="22"/>
      <c r="U39" s="22"/>
      <c r="V39" s="22"/>
      <c r="W39" s="22"/>
    </row>
    <row r="40" spans="1:23" x14ac:dyDescent="0.3">
      <c r="A40" s="22"/>
      <c r="B40" s="22"/>
      <c r="C40" s="22"/>
      <c r="D40" s="22"/>
      <c r="E40" s="22"/>
      <c r="F40" s="22"/>
      <c r="G40" s="22"/>
      <c r="H40" s="22"/>
      <c r="I40" s="22"/>
      <c r="J40" s="22"/>
      <c r="K40" s="22"/>
      <c r="L40" s="22"/>
      <c r="M40" s="22"/>
      <c r="N40" s="22"/>
      <c r="O40" s="22"/>
      <c r="P40" s="22"/>
      <c r="Q40" s="22"/>
      <c r="R40" s="22"/>
      <c r="S40" s="22"/>
      <c r="T40" s="22"/>
      <c r="U40" s="22"/>
      <c r="V40" s="22"/>
      <c r="W40" s="22"/>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94748-75FC-42C4-92A2-603398669DEF}">
  <sheetPr codeName="Sheet5">
    <tabColor rgb="FFE187FD"/>
  </sheetPr>
  <dimension ref="B1:AC9"/>
  <sheetViews>
    <sheetView showGridLines="0" tabSelected="1" zoomScale="90" zoomScaleNormal="90" workbookViewId="0"/>
  </sheetViews>
  <sheetFormatPr defaultRowHeight="14.4" x14ac:dyDescent="0.3"/>
  <sheetData>
    <row r="1" spans="2:29" ht="72" x14ac:dyDescent="0.3">
      <c r="B1">
        <v>1</v>
      </c>
      <c r="AC1" s="25" t="s">
        <v>255</v>
      </c>
    </row>
    <row r="9" spans="2:29" x14ac:dyDescent="0.3">
      <c r="AC9" s="2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326F0-48E5-4B9A-B548-7435A1F26DF4}">
  <sheetPr codeName="Sheet2"/>
  <dimension ref="B2:AF25"/>
  <sheetViews>
    <sheetView showGridLines="0" zoomScale="85" workbookViewId="0">
      <selection activeCell="E36" sqref="E36"/>
    </sheetView>
  </sheetViews>
  <sheetFormatPr defaultRowHeight="14.4" x14ac:dyDescent="0.3"/>
  <cols>
    <col min="1" max="1" width="13.21875" bestFit="1" customWidth="1"/>
    <col min="2" max="2" width="10" bestFit="1" customWidth="1"/>
    <col min="3" max="3" width="5.77734375" bestFit="1" customWidth="1"/>
    <col min="4" max="4" width="3" customWidth="1"/>
    <col min="5" max="5" width="13.6640625" bestFit="1" customWidth="1"/>
    <col min="6" max="6" width="13.5546875" bestFit="1" customWidth="1"/>
    <col min="7" max="7" width="9" bestFit="1" customWidth="1"/>
    <col min="8" max="8" width="7.77734375" customWidth="1"/>
    <col min="9" max="9" width="5.88671875" bestFit="1" customWidth="1"/>
    <col min="10" max="10" width="3.77734375" customWidth="1"/>
    <col min="11" max="11" width="10.44140625" bestFit="1" customWidth="1"/>
    <col min="12" max="12" width="13.6640625" customWidth="1"/>
    <col min="13" max="13" width="5.5546875" bestFit="1" customWidth="1"/>
    <col min="14" max="14" width="3.5546875" customWidth="1"/>
    <col min="15" max="15" width="12" bestFit="1" customWidth="1"/>
    <col min="16" max="16" width="13.6640625" bestFit="1" customWidth="1"/>
    <col min="17" max="17" width="5.5546875" bestFit="1" customWidth="1"/>
    <col min="18" max="18" width="4.21875" customWidth="1"/>
    <col min="19" max="19" width="10.44140625" bestFit="1" customWidth="1"/>
    <col min="20" max="20" width="13.6640625" bestFit="1" customWidth="1"/>
    <col min="21" max="21" width="5.5546875" bestFit="1" customWidth="1"/>
    <col min="22" max="22" width="3.88671875" customWidth="1"/>
    <col min="23" max="23" width="14.109375" bestFit="1" customWidth="1"/>
    <col min="24" max="24" width="13.6640625" bestFit="1" customWidth="1"/>
    <col min="25" max="25" width="3.109375" customWidth="1"/>
    <col min="26" max="26" width="10.44140625" bestFit="1" customWidth="1"/>
    <col min="27" max="27" width="13.6640625" bestFit="1" customWidth="1"/>
    <col min="28" max="28" width="5.5546875" bestFit="1" customWidth="1"/>
    <col min="29" max="29" width="3.109375" customWidth="1"/>
    <col min="30" max="30" width="13" bestFit="1" customWidth="1"/>
    <col min="31" max="31" width="13.6640625" bestFit="1" customWidth="1"/>
    <col min="32" max="32" width="5.5546875" bestFit="1" customWidth="1"/>
  </cols>
  <sheetData>
    <row r="2" spans="2:32" x14ac:dyDescent="0.3">
      <c r="E2" s="10" t="s">
        <v>233</v>
      </c>
      <c r="F2" s="10" t="s">
        <v>232</v>
      </c>
      <c r="K2" s="10" t="s">
        <v>0</v>
      </c>
      <c r="L2" t="s">
        <v>16</v>
      </c>
      <c r="O2" s="10" t="s">
        <v>0</v>
      </c>
      <c r="P2" t="s">
        <v>16</v>
      </c>
      <c r="S2" s="10" t="s">
        <v>0</v>
      </c>
      <c r="T2" t="s">
        <v>16</v>
      </c>
      <c r="W2" s="10" t="s">
        <v>0</v>
      </c>
      <c r="X2" t="s">
        <v>16</v>
      </c>
      <c r="Z2" s="10" t="s">
        <v>0</v>
      </c>
      <c r="AA2" t="s">
        <v>16</v>
      </c>
      <c r="AD2" s="10" t="s">
        <v>0</v>
      </c>
      <c r="AE2" t="s">
        <v>16</v>
      </c>
    </row>
    <row r="3" spans="2:32" x14ac:dyDescent="0.3">
      <c r="E3" s="10" t="s">
        <v>234</v>
      </c>
      <c r="F3" t="s">
        <v>25</v>
      </c>
      <c r="G3" t="s">
        <v>16</v>
      </c>
      <c r="H3" t="s">
        <v>136</v>
      </c>
      <c r="I3" t="s">
        <v>235</v>
      </c>
    </row>
    <row r="4" spans="2:32" x14ac:dyDescent="0.3">
      <c r="E4" s="11">
        <v>2020</v>
      </c>
      <c r="F4" s="24">
        <v>20</v>
      </c>
      <c r="G4" s="24">
        <v>23</v>
      </c>
      <c r="H4" s="24"/>
      <c r="I4" s="24">
        <v>43</v>
      </c>
      <c r="K4" s="10" t="s">
        <v>234</v>
      </c>
      <c r="L4" t="s">
        <v>233</v>
      </c>
      <c r="O4" s="10" t="s">
        <v>234</v>
      </c>
      <c r="P4" t="s">
        <v>233</v>
      </c>
      <c r="S4" s="10" t="s">
        <v>234</v>
      </c>
      <c r="T4" t="s">
        <v>233</v>
      </c>
      <c r="W4" s="10" t="s">
        <v>234</v>
      </c>
      <c r="X4" t="s">
        <v>233</v>
      </c>
      <c r="Z4" s="10" t="s">
        <v>234</v>
      </c>
      <c r="AA4" t="s">
        <v>233</v>
      </c>
      <c r="AD4" s="10" t="s">
        <v>234</v>
      </c>
      <c r="AE4" t="s">
        <v>233</v>
      </c>
    </row>
    <row r="5" spans="2:32" x14ac:dyDescent="0.3">
      <c r="E5" s="11">
        <v>2021</v>
      </c>
      <c r="F5" s="24">
        <v>12</v>
      </c>
      <c r="G5" s="24">
        <v>12</v>
      </c>
      <c r="H5" s="24">
        <v>1</v>
      </c>
      <c r="I5" s="24">
        <v>25</v>
      </c>
      <c r="K5" s="11" t="s">
        <v>39</v>
      </c>
      <c r="L5" s="24">
        <v>45</v>
      </c>
      <c r="O5" s="11" t="s">
        <v>21</v>
      </c>
      <c r="P5" s="24">
        <v>13</v>
      </c>
      <c r="S5" s="11" t="s">
        <v>30</v>
      </c>
      <c r="T5" s="24">
        <v>9</v>
      </c>
      <c r="W5" s="11" t="s">
        <v>38</v>
      </c>
      <c r="X5" s="24">
        <v>42</v>
      </c>
      <c r="Z5" s="11" t="s">
        <v>21</v>
      </c>
      <c r="AA5" s="24">
        <v>13</v>
      </c>
      <c r="AD5" s="11" t="s">
        <v>253</v>
      </c>
      <c r="AE5" s="24">
        <v>28</v>
      </c>
    </row>
    <row r="6" spans="2:32" x14ac:dyDescent="0.3">
      <c r="E6" s="11">
        <v>2022</v>
      </c>
      <c r="F6" s="24">
        <v>10</v>
      </c>
      <c r="G6" s="24">
        <v>19</v>
      </c>
      <c r="H6" s="24">
        <v>4</v>
      </c>
      <c r="I6" s="24">
        <v>33</v>
      </c>
      <c r="K6" s="11" t="s">
        <v>22</v>
      </c>
      <c r="L6" s="24">
        <v>73</v>
      </c>
      <c r="O6" s="11" t="s">
        <v>89</v>
      </c>
      <c r="P6" s="24">
        <v>21</v>
      </c>
      <c r="S6" s="11" t="s">
        <v>44</v>
      </c>
      <c r="T6" s="24">
        <v>10</v>
      </c>
      <c r="W6" s="11" t="s">
        <v>57</v>
      </c>
      <c r="X6" s="24">
        <v>26</v>
      </c>
      <c r="Z6" s="11" t="s">
        <v>86</v>
      </c>
      <c r="AA6" s="24">
        <v>105</v>
      </c>
      <c r="AD6" s="11" t="s">
        <v>252</v>
      </c>
      <c r="AE6" s="24">
        <v>16</v>
      </c>
    </row>
    <row r="7" spans="2:32" x14ac:dyDescent="0.3">
      <c r="E7" s="11">
        <v>2023</v>
      </c>
      <c r="F7" s="24">
        <v>4</v>
      </c>
      <c r="G7" s="24">
        <v>30</v>
      </c>
      <c r="H7" s="24">
        <v>1</v>
      </c>
      <c r="I7" s="24">
        <v>35</v>
      </c>
      <c r="K7" s="11" t="s">
        <v>235</v>
      </c>
      <c r="L7" s="24">
        <v>118</v>
      </c>
      <c r="O7" s="11" t="s">
        <v>97</v>
      </c>
      <c r="P7" s="24">
        <v>43</v>
      </c>
      <c r="S7" s="11" t="s">
        <v>49</v>
      </c>
      <c r="T7" s="24">
        <v>25</v>
      </c>
      <c r="W7" s="11" t="s">
        <v>20</v>
      </c>
      <c r="X7" s="24">
        <v>18</v>
      </c>
      <c r="Z7" s="11" t="s">
        <v>235</v>
      </c>
      <c r="AA7" s="24">
        <v>118</v>
      </c>
      <c r="AD7" s="11" t="s">
        <v>251</v>
      </c>
      <c r="AE7" s="24">
        <v>18</v>
      </c>
    </row>
    <row r="8" spans="2:32" x14ac:dyDescent="0.3">
      <c r="E8" s="11">
        <v>2024</v>
      </c>
      <c r="F8" s="24"/>
      <c r="G8" s="24">
        <v>25</v>
      </c>
      <c r="H8" s="24"/>
      <c r="I8" s="24">
        <v>25</v>
      </c>
      <c r="O8" s="11" t="s">
        <v>29</v>
      </c>
      <c r="P8" s="24">
        <v>41</v>
      </c>
      <c r="S8" s="11" t="s">
        <v>35</v>
      </c>
      <c r="T8" s="24">
        <v>11</v>
      </c>
      <c r="W8" s="11" t="s">
        <v>65</v>
      </c>
      <c r="X8" s="24">
        <v>12</v>
      </c>
      <c r="AD8" s="11" t="s">
        <v>250</v>
      </c>
      <c r="AE8" s="24">
        <v>44</v>
      </c>
    </row>
    <row r="9" spans="2:32" x14ac:dyDescent="0.3">
      <c r="E9" s="11">
        <v>2025</v>
      </c>
      <c r="F9" s="24">
        <v>1</v>
      </c>
      <c r="G9" s="24">
        <v>9</v>
      </c>
      <c r="H9" s="24"/>
      <c r="I9" s="24">
        <v>10</v>
      </c>
      <c r="O9" s="11" t="s">
        <v>235</v>
      </c>
      <c r="P9" s="24">
        <v>118</v>
      </c>
      <c r="S9" s="11" t="s">
        <v>40</v>
      </c>
      <c r="T9" s="24">
        <v>15</v>
      </c>
      <c r="W9" s="11" t="s">
        <v>43</v>
      </c>
      <c r="X9" s="24">
        <v>9</v>
      </c>
      <c r="AD9" s="11" t="s">
        <v>249</v>
      </c>
      <c r="AE9" s="24">
        <v>10</v>
      </c>
    </row>
    <row r="10" spans="2:32" x14ac:dyDescent="0.3">
      <c r="E10" s="11" t="s">
        <v>235</v>
      </c>
      <c r="F10" s="24">
        <v>47</v>
      </c>
      <c r="G10" s="24">
        <v>118</v>
      </c>
      <c r="H10" s="24">
        <v>6</v>
      </c>
      <c r="I10" s="24">
        <v>171</v>
      </c>
      <c r="S10" s="11" t="s">
        <v>24</v>
      </c>
      <c r="T10" s="24">
        <v>27</v>
      </c>
      <c r="W10" s="11" t="s">
        <v>80</v>
      </c>
      <c r="X10" s="24">
        <v>7</v>
      </c>
      <c r="AD10" s="11" t="s">
        <v>248</v>
      </c>
      <c r="AE10" s="24">
        <v>2</v>
      </c>
    </row>
    <row r="11" spans="2:32" x14ac:dyDescent="0.3">
      <c r="S11" s="11" t="s">
        <v>62</v>
      </c>
      <c r="T11" s="24">
        <v>21</v>
      </c>
      <c r="W11" s="11" t="s">
        <v>52</v>
      </c>
      <c r="X11" s="24">
        <v>4</v>
      </c>
      <c r="AD11" s="11" t="s">
        <v>235</v>
      </c>
      <c r="AE11" s="24">
        <v>118</v>
      </c>
    </row>
    <row r="12" spans="2:32" x14ac:dyDescent="0.3">
      <c r="S12" s="11" t="s">
        <v>235</v>
      </c>
      <c r="T12" s="24">
        <v>118</v>
      </c>
      <c r="W12" s="11" t="s">
        <v>235</v>
      </c>
      <c r="X12" s="24">
        <v>118</v>
      </c>
    </row>
    <row r="14" spans="2:32" x14ac:dyDescent="0.3">
      <c r="B14" s="16" t="s">
        <v>236</v>
      </c>
      <c r="C14" s="16" t="s">
        <v>237</v>
      </c>
      <c r="E14" s="12" t="s">
        <v>14</v>
      </c>
      <c r="F14" s="12" t="s">
        <v>25</v>
      </c>
      <c r="G14" s="12" t="s">
        <v>16</v>
      </c>
      <c r="H14" s="12" t="s">
        <v>136</v>
      </c>
      <c r="I14" s="12" t="s">
        <v>235</v>
      </c>
      <c r="K14" s="19" t="s">
        <v>241</v>
      </c>
      <c r="L14" s="19" t="s">
        <v>242</v>
      </c>
      <c r="M14" s="19" t="s">
        <v>243</v>
      </c>
      <c r="O14" s="19" t="s">
        <v>244</v>
      </c>
      <c r="P14" s="19" t="s">
        <v>242</v>
      </c>
      <c r="Q14" s="19" t="s">
        <v>243</v>
      </c>
      <c r="S14" s="12" t="s">
        <v>245</v>
      </c>
      <c r="T14" s="12" t="s">
        <v>242</v>
      </c>
      <c r="U14" s="16" t="s">
        <v>243</v>
      </c>
      <c r="W14" s="12" t="s">
        <v>246</v>
      </c>
      <c r="X14" s="12" t="s">
        <v>247</v>
      </c>
      <c r="Z14" s="12" t="s">
        <v>7</v>
      </c>
      <c r="AA14" s="12" t="s">
        <v>242</v>
      </c>
      <c r="AB14" s="16" t="s">
        <v>243</v>
      </c>
      <c r="AD14" s="12" t="s">
        <v>15</v>
      </c>
      <c r="AE14" s="12" t="s">
        <v>242</v>
      </c>
      <c r="AF14" s="16" t="s">
        <v>243</v>
      </c>
    </row>
    <row r="15" spans="2:32" x14ac:dyDescent="0.3">
      <c r="B15" t="s">
        <v>238</v>
      </c>
      <c r="C15">
        <f>GETPIVOTDATA("Name",$E$2)</f>
        <v>171</v>
      </c>
      <c r="E15">
        <v>2020</v>
      </c>
      <c r="F15">
        <f>GETPIVOTDATA("Name",$E$2,"Emp Status","Attrition","Year",E15)</f>
        <v>20</v>
      </c>
      <c r="G15">
        <f t="shared" ref="G15:G20" si="0">GETPIVOTDATA("Name",$E$2,"Emp Status","On-Board","Year",E15)</f>
        <v>23</v>
      </c>
      <c r="H15">
        <f t="shared" ref="H15:H20" si="1">GETPIVOTDATA("Name",$E$2,"Emp Status","Transfer","Year",E15)</f>
        <v>0</v>
      </c>
      <c r="I15">
        <f>G15</f>
        <v>23</v>
      </c>
      <c r="K15" s="11" t="s">
        <v>39</v>
      </c>
      <c r="L15">
        <f>IFERROR(GETPIVOTDATA("Name",$K$4,"Category","Female"),0)</f>
        <v>45</v>
      </c>
      <c r="M15" s="15">
        <f>L15/L17</f>
        <v>0.38135593220338981</v>
      </c>
      <c r="O15" s="11" t="s">
        <v>21</v>
      </c>
      <c r="P15">
        <f>GETPIVOTDATA("Name",$O$4,"Grade",O15)</f>
        <v>13</v>
      </c>
      <c r="Q15" s="15">
        <f>$P15/$P19</f>
        <v>0.11016949152542373</v>
      </c>
      <c r="S15" s="11" t="s">
        <v>30</v>
      </c>
      <c r="T15">
        <f t="shared" ref="T15:T21" si="2">IFERROR(GETPIVOTDATA("Name",$S$4,"Department",S15),0)</f>
        <v>9</v>
      </c>
      <c r="U15" s="15">
        <f t="shared" ref="U15:U22" si="3">T15/$T$22</f>
        <v>7.6271186440677971E-2</v>
      </c>
      <c r="W15" s="11" t="s">
        <v>38</v>
      </c>
      <c r="X15">
        <v>42</v>
      </c>
      <c r="Z15" s="11" t="s">
        <v>21</v>
      </c>
      <c r="AA15">
        <f>IFERROR(GETPIVOTDATA("Name",$Z$4,"Emp Type",Z15),0)</f>
        <v>13</v>
      </c>
      <c r="AB15" s="15">
        <f>AA15/$AA$17</f>
        <v>0.11016949152542373</v>
      </c>
      <c r="AD15" s="11" t="s">
        <v>253</v>
      </c>
      <c r="AE15">
        <f t="shared" ref="AE15:AE20" si="4">IFERROR(GETPIVOTDATA("Name",$AD$4,"Stability",AD15),0)</f>
        <v>28</v>
      </c>
      <c r="AF15" s="15">
        <f t="shared" ref="AF15:AF21" si="5">AE15/$AE$21</f>
        <v>0.23728813559322035</v>
      </c>
    </row>
    <row r="16" spans="2:32" x14ac:dyDescent="0.3">
      <c r="B16" t="s">
        <v>239</v>
      </c>
      <c r="C16">
        <f>G21</f>
        <v>118</v>
      </c>
      <c r="E16">
        <v>2021</v>
      </c>
      <c r="F16">
        <f t="shared" ref="F16:F19" si="6">GETPIVOTDATA("Name",$E$2,"Emp Status","Attrition","Year",E16)</f>
        <v>12</v>
      </c>
      <c r="G16">
        <f t="shared" si="0"/>
        <v>12</v>
      </c>
      <c r="H16">
        <f t="shared" si="1"/>
        <v>1</v>
      </c>
      <c r="I16">
        <f>I15+G16</f>
        <v>35</v>
      </c>
      <c r="K16" s="11" t="s">
        <v>22</v>
      </c>
      <c r="L16">
        <f>IFERROR(GETPIVOTDATA("Name",$K$4,"Category","Male"),0)</f>
        <v>73</v>
      </c>
      <c r="M16" s="15">
        <f>L16/L17</f>
        <v>0.61864406779661019</v>
      </c>
      <c r="O16" s="11" t="s">
        <v>89</v>
      </c>
      <c r="P16">
        <f>GETPIVOTDATA("Name",$O$4,"Grade",O16)</f>
        <v>21</v>
      </c>
      <c r="Q16" s="15">
        <f>P16/$P$19</f>
        <v>0.17796610169491525</v>
      </c>
      <c r="S16" s="11" t="s">
        <v>44</v>
      </c>
      <c r="T16">
        <f t="shared" si="2"/>
        <v>10</v>
      </c>
      <c r="U16" s="15">
        <f t="shared" si="3"/>
        <v>8.4745762711864403E-2</v>
      </c>
      <c r="W16" s="11" t="s">
        <v>57</v>
      </c>
      <c r="X16">
        <v>26</v>
      </c>
      <c r="Z16" s="11" t="s">
        <v>86</v>
      </c>
      <c r="AA16">
        <f>IFERROR(GETPIVOTDATA("Name",$Z$4,"Emp Type",Z16),0)</f>
        <v>105</v>
      </c>
      <c r="AB16" s="15">
        <f>AA16/$AA$17</f>
        <v>0.88983050847457623</v>
      </c>
      <c r="AD16" s="11" t="s">
        <v>252</v>
      </c>
      <c r="AE16">
        <f t="shared" si="4"/>
        <v>16</v>
      </c>
      <c r="AF16" s="15">
        <f t="shared" si="5"/>
        <v>0.13559322033898305</v>
      </c>
    </row>
    <row r="17" spans="2:32" x14ac:dyDescent="0.3">
      <c r="B17" t="s">
        <v>25</v>
      </c>
      <c r="C17">
        <f>F21</f>
        <v>47</v>
      </c>
      <c r="E17">
        <v>2022</v>
      </c>
      <c r="F17">
        <f t="shared" si="6"/>
        <v>10</v>
      </c>
      <c r="G17">
        <f t="shared" si="0"/>
        <v>19</v>
      </c>
      <c r="H17">
        <f t="shared" si="1"/>
        <v>4</v>
      </c>
      <c r="I17">
        <f>I16+G17</f>
        <v>54</v>
      </c>
      <c r="K17" s="20" t="s">
        <v>235</v>
      </c>
      <c r="L17" s="19">
        <f>SUM(L15:L16)</f>
        <v>118</v>
      </c>
      <c r="M17" s="21">
        <f>L17/L17</f>
        <v>1</v>
      </c>
      <c r="O17" s="11" t="s">
        <v>97</v>
      </c>
      <c r="P17">
        <f>GETPIVOTDATA("Name",$O$4,"Grade",O17)</f>
        <v>43</v>
      </c>
      <c r="Q17" s="15">
        <f>P17/$P$19</f>
        <v>0.36440677966101692</v>
      </c>
      <c r="S17" s="11" t="s">
        <v>49</v>
      </c>
      <c r="T17">
        <f t="shared" si="2"/>
        <v>25</v>
      </c>
      <c r="U17" s="15">
        <f t="shared" si="3"/>
        <v>0.21186440677966101</v>
      </c>
      <c r="W17" s="11" t="s">
        <v>20</v>
      </c>
      <c r="X17">
        <v>18</v>
      </c>
      <c r="Z17" s="13" t="s">
        <v>235</v>
      </c>
      <c r="AA17" s="14">
        <f>SUM(AA15+AA16)</f>
        <v>118</v>
      </c>
      <c r="AB17" s="17">
        <f>AA17/$AA$17</f>
        <v>1</v>
      </c>
      <c r="AD17" s="11" t="s">
        <v>251</v>
      </c>
      <c r="AE17">
        <f t="shared" si="4"/>
        <v>18</v>
      </c>
      <c r="AF17" s="15">
        <f t="shared" si="5"/>
        <v>0.15254237288135594</v>
      </c>
    </row>
    <row r="18" spans="2:32" x14ac:dyDescent="0.3">
      <c r="B18" t="s">
        <v>240</v>
      </c>
      <c r="C18" s="15">
        <f>C17/C15</f>
        <v>0.27485380116959063</v>
      </c>
      <c r="E18">
        <v>2023</v>
      </c>
      <c r="F18">
        <f t="shared" si="6"/>
        <v>4</v>
      </c>
      <c r="G18">
        <f t="shared" si="0"/>
        <v>30</v>
      </c>
      <c r="H18">
        <f t="shared" si="1"/>
        <v>1</v>
      </c>
      <c r="I18">
        <f>I17+G18</f>
        <v>84</v>
      </c>
      <c r="O18" s="11" t="s">
        <v>29</v>
      </c>
      <c r="P18">
        <f>GETPIVOTDATA("Name",$O$4,"Grade",O18)</f>
        <v>41</v>
      </c>
      <c r="Q18" s="15">
        <f>P18/$P$19</f>
        <v>0.34745762711864409</v>
      </c>
      <c r="S18" s="11" t="s">
        <v>35</v>
      </c>
      <c r="T18">
        <f t="shared" si="2"/>
        <v>11</v>
      </c>
      <c r="U18" s="15">
        <f t="shared" si="3"/>
        <v>9.3220338983050849E-2</v>
      </c>
      <c r="W18" s="11" t="s">
        <v>65</v>
      </c>
      <c r="X18">
        <v>12</v>
      </c>
      <c r="AD18" s="11" t="s">
        <v>250</v>
      </c>
      <c r="AE18">
        <f t="shared" si="4"/>
        <v>44</v>
      </c>
      <c r="AF18" s="15">
        <f t="shared" si="5"/>
        <v>0.3728813559322034</v>
      </c>
    </row>
    <row r="19" spans="2:32" x14ac:dyDescent="0.3">
      <c r="B19" t="s">
        <v>136</v>
      </c>
      <c r="C19">
        <f>H21</f>
        <v>6</v>
      </c>
      <c r="E19">
        <v>2024</v>
      </c>
      <c r="F19">
        <f t="shared" si="6"/>
        <v>0</v>
      </c>
      <c r="G19">
        <f t="shared" si="0"/>
        <v>25</v>
      </c>
      <c r="H19">
        <f t="shared" si="1"/>
        <v>0</v>
      </c>
      <c r="I19">
        <f>I18+G19</f>
        <v>109</v>
      </c>
      <c r="O19" s="20" t="s">
        <v>235</v>
      </c>
      <c r="P19" s="19">
        <f>SUM(P15:P18)</f>
        <v>118</v>
      </c>
      <c r="Q19" s="21">
        <f>P19/P19</f>
        <v>1</v>
      </c>
      <c r="S19" s="11" t="s">
        <v>40</v>
      </c>
      <c r="T19">
        <f t="shared" si="2"/>
        <v>15</v>
      </c>
      <c r="U19" s="15">
        <f t="shared" si="3"/>
        <v>0.1271186440677966</v>
      </c>
      <c r="W19" s="11" t="s">
        <v>43</v>
      </c>
      <c r="X19">
        <v>9</v>
      </c>
      <c r="AD19" s="11" t="s">
        <v>249</v>
      </c>
      <c r="AE19">
        <f t="shared" si="4"/>
        <v>10</v>
      </c>
      <c r="AF19" s="15">
        <f t="shared" si="5"/>
        <v>8.4745762711864403E-2</v>
      </c>
    </row>
    <row r="20" spans="2:32" x14ac:dyDescent="0.3">
      <c r="E20">
        <v>2025</v>
      </c>
      <c r="F20">
        <v>1</v>
      </c>
      <c r="G20">
        <f t="shared" si="0"/>
        <v>9</v>
      </c>
      <c r="H20">
        <f t="shared" si="1"/>
        <v>0</v>
      </c>
      <c r="I20">
        <f>I19+G20</f>
        <v>118</v>
      </c>
      <c r="S20" s="11" t="s">
        <v>24</v>
      </c>
      <c r="T20">
        <f t="shared" si="2"/>
        <v>27</v>
      </c>
      <c r="U20" s="15">
        <f t="shared" si="3"/>
        <v>0.2288135593220339</v>
      </c>
      <c r="W20" s="11" t="s">
        <v>80</v>
      </c>
      <c r="X20">
        <v>7</v>
      </c>
      <c r="AD20" s="11" t="s">
        <v>248</v>
      </c>
      <c r="AE20">
        <f t="shared" si="4"/>
        <v>2</v>
      </c>
      <c r="AF20" s="15">
        <f t="shared" si="5"/>
        <v>1.6949152542372881E-2</v>
      </c>
    </row>
    <row r="21" spans="2:32" x14ac:dyDescent="0.3">
      <c r="E21" s="13" t="s">
        <v>235</v>
      </c>
      <c r="F21" s="14">
        <f>SUM(F15:F20)</f>
        <v>47</v>
      </c>
      <c r="G21" s="14">
        <f>SUM(G15:G20)</f>
        <v>118</v>
      </c>
      <c r="H21" s="14">
        <f>SUM(H15:H20)</f>
        <v>6</v>
      </c>
      <c r="I21" s="14">
        <f>I20</f>
        <v>118</v>
      </c>
      <c r="S21" s="11" t="s">
        <v>62</v>
      </c>
      <c r="T21">
        <f t="shared" si="2"/>
        <v>21</v>
      </c>
      <c r="U21" s="15">
        <f t="shared" si="3"/>
        <v>0.17796610169491525</v>
      </c>
      <c r="W21" s="11" t="s">
        <v>52</v>
      </c>
      <c r="X21">
        <v>4</v>
      </c>
      <c r="AD21" s="13" t="s">
        <v>235</v>
      </c>
      <c r="AE21" s="14">
        <f>SUM(AE15:AE20)</f>
        <v>118</v>
      </c>
      <c r="AF21" s="17">
        <f t="shared" si="5"/>
        <v>1</v>
      </c>
    </row>
    <row r="22" spans="2:32" x14ac:dyDescent="0.3">
      <c r="S22" s="13" t="s">
        <v>235</v>
      </c>
      <c r="T22" s="14">
        <f>SUM(T15:T21)</f>
        <v>118</v>
      </c>
      <c r="U22" s="17">
        <f t="shared" si="3"/>
        <v>1</v>
      </c>
      <c r="W22" s="13" t="s">
        <v>235</v>
      </c>
      <c r="X22" s="14">
        <f>SUM(X15+X16+X17+X18+X19+X20+X21)</f>
        <v>118</v>
      </c>
      <c r="AA22" t="s">
        <v>254</v>
      </c>
    </row>
    <row r="25" spans="2:32" x14ac:dyDescent="0.3">
      <c r="J25" s="1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5E888-6FA6-4368-A4D2-2B51B2CD03BB}">
  <sheetPr codeName="Sheet3"/>
  <dimension ref="A1:S172"/>
  <sheetViews>
    <sheetView topLeftCell="A150" workbookViewId="0">
      <selection activeCell="S123" sqref="S123"/>
    </sheetView>
  </sheetViews>
  <sheetFormatPr defaultRowHeight="14.4" x14ac:dyDescent="0.3"/>
  <sheetData>
    <row r="1" spans="1:16" ht="41.4" x14ac:dyDescent="0.3">
      <c r="A1" s="1" t="s">
        <v>0</v>
      </c>
      <c r="B1" s="1" t="s">
        <v>1</v>
      </c>
      <c r="C1" s="1" t="s">
        <v>2</v>
      </c>
      <c r="D1" s="1" t="s">
        <v>3</v>
      </c>
      <c r="E1" s="1" t="s">
        <v>4</v>
      </c>
      <c r="F1" s="1" t="s">
        <v>5</v>
      </c>
      <c r="G1" s="1" t="s">
        <v>6</v>
      </c>
      <c r="H1" s="1" t="s">
        <v>7</v>
      </c>
      <c r="I1" s="1" t="s">
        <v>8</v>
      </c>
      <c r="J1" s="1" t="s">
        <v>9</v>
      </c>
      <c r="K1" s="1" t="s">
        <v>10</v>
      </c>
      <c r="L1" s="1" t="s">
        <v>11</v>
      </c>
      <c r="M1" s="2" t="s">
        <v>12</v>
      </c>
      <c r="N1" s="1" t="s">
        <v>13</v>
      </c>
      <c r="O1" s="1" t="s">
        <v>14</v>
      </c>
      <c r="P1" s="1" t="s">
        <v>15</v>
      </c>
    </row>
    <row r="2" spans="1:16" x14ac:dyDescent="0.3">
      <c r="A2" s="3" t="s">
        <v>16</v>
      </c>
      <c r="B2" s="3" t="s">
        <v>17</v>
      </c>
      <c r="C2" s="4" t="s">
        <v>18</v>
      </c>
      <c r="D2" s="5" t="s">
        <v>19</v>
      </c>
      <c r="E2" s="6">
        <v>43950</v>
      </c>
      <c r="F2" s="6"/>
      <c r="G2" s="7" t="s">
        <v>20</v>
      </c>
      <c r="H2" s="4" t="s">
        <v>21</v>
      </c>
      <c r="I2" s="4" t="s">
        <v>22</v>
      </c>
      <c r="J2" s="8">
        <v>44390</v>
      </c>
      <c r="K2" s="8" t="s">
        <v>23</v>
      </c>
      <c r="L2" s="5" t="s">
        <v>21</v>
      </c>
      <c r="M2" s="5" t="s">
        <v>24</v>
      </c>
      <c r="N2" s="5">
        <v>0</v>
      </c>
      <c r="O2" s="9">
        <f>YEAR(Table2[[#This Row],[Date of Joining]])</f>
        <v>2020</v>
      </c>
      <c r="P2" s="9" t="str">
        <f t="shared" ref="P2:P65" ca="1" si="0">IF(DATEDIF(E2,TODAY(),"Y")&gt;=5,"5+ years",
IF(DATEDIF(E2,TODAY(),"Y")&gt;=4,"4+ years",
IF(DATEDIF(E2,TODAY(),"Y")&gt;=3,"3+ years",
IF(DATEDIF(E2,TODAY(),"Y")&gt;=2,"2+ years",
IF(DATEDIF(E2,TODAY(),"Y")&gt;=1,"1+ years","&lt;1 year")))))</f>
        <v>5+ years</v>
      </c>
    </row>
    <row r="3" spans="1:16" x14ac:dyDescent="0.3">
      <c r="A3" s="3" t="s">
        <v>25</v>
      </c>
      <c r="B3" s="3"/>
      <c r="C3" s="4" t="s">
        <v>26</v>
      </c>
      <c r="D3" s="5" t="s">
        <v>27</v>
      </c>
      <c r="E3" s="6">
        <v>44075</v>
      </c>
      <c r="F3" s="6">
        <v>44183</v>
      </c>
      <c r="G3" s="7" t="s">
        <v>20</v>
      </c>
      <c r="H3" s="4" t="s">
        <v>21</v>
      </c>
      <c r="I3" s="4" t="s">
        <v>22</v>
      </c>
      <c r="J3" s="8">
        <v>44472</v>
      </c>
      <c r="K3" s="8" t="s">
        <v>28</v>
      </c>
      <c r="L3" s="5" t="s">
        <v>29</v>
      </c>
      <c r="M3" s="5" t="s">
        <v>30</v>
      </c>
      <c r="N3" s="5">
        <v>6.5</v>
      </c>
      <c r="O3" s="9">
        <f>YEAR(Table2[[#This Row],[Date of Joining]])</f>
        <v>2020</v>
      </c>
      <c r="P3" s="9" t="str">
        <f t="shared" ca="1" si="0"/>
        <v>5+ years</v>
      </c>
    </row>
    <row r="4" spans="1:16" x14ac:dyDescent="0.3">
      <c r="A4" s="3" t="s">
        <v>16</v>
      </c>
      <c r="B4" s="3"/>
      <c r="C4" s="4" t="s">
        <v>31</v>
      </c>
      <c r="D4" s="5" t="s">
        <v>32</v>
      </c>
      <c r="E4" s="6">
        <v>44197</v>
      </c>
      <c r="F4" s="6"/>
      <c r="G4" s="7" t="s">
        <v>20</v>
      </c>
      <c r="H4" s="4" t="s">
        <v>21</v>
      </c>
      <c r="I4" s="4" t="s">
        <v>22</v>
      </c>
      <c r="J4" s="8">
        <v>44236</v>
      </c>
      <c r="K4" s="8" t="s">
        <v>23</v>
      </c>
      <c r="L4" s="5" t="s">
        <v>21</v>
      </c>
      <c r="M4" s="5" t="s">
        <v>24</v>
      </c>
      <c r="N4" s="5">
        <v>4.8</v>
      </c>
      <c r="O4" s="9">
        <f>YEAR(Table2[[#This Row],[Date of Joining]])</f>
        <v>2021</v>
      </c>
      <c r="P4" s="9" t="str">
        <f t="shared" ca="1" si="0"/>
        <v>5+ years</v>
      </c>
    </row>
    <row r="5" spans="1:16" x14ac:dyDescent="0.3">
      <c r="A5" s="3" t="s">
        <v>16</v>
      </c>
      <c r="B5" s="3"/>
      <c r="C5" s="4" t="s">
        <v>33</v>
      </c>
      <c r="D5" s="5" t="s">
        <v>34</v>
      </c>
      <c r="E5" s="6">
        <v>44236</v>
      </c>
      <c r="F5" s="6"/>
      <c r="G5" s="7" t="s">
        <v>20</v>
      </c>
      <c r="H5" s="4" t="s">
        <v>21</v>
      </c>
      <c r="I5" s="4" t="s">
        <v>22</v>
      </c>
      <c r="J5" s="8">
        <v>44269</v>
      </c>
      <c r="K5" s="8" t="s">
        <v>23</v>
      </c>
      <c r="L5" s="5" t="s">
        <v>21</v>
      </c>
      <c r="M5" s="5" t="s">
        <v>35</v>
      </c>
      <c r="N5" s="5">
        <v>14</v>
      </c>
      <c r="O5" s="9">
        <f>YEAR(Table2[[#This Row],[Date of Joining]])</f>
        <v>2021</v>
      </c>
      <c r="P5" s="9" t="str">
        <f t="shared" ca="1" si="0"/>
        <v>5+ years</v>
      </c>
    </row>
    <row r="6" spans="1:16" x14ac:dyDescent="0.3">
      <c r="A6" s="3" t="s">
        <v>25</v>
      </c>
      <c r="B6" s="3"/>
      <c r="C6" s="4" t="s">
        <v>36</v>
      </c>
      <c r="D6" s="5" t="s">
        <v>37</v>
      </c>
      <c r="E6" s="6">
        <v>44469</v>
      </c>
      <c r="F6" s="6">
        <v>44834</v>
      </c>
      <c r="G6" s="7" t="s">
        <v>38</v>
      </c>
      <c r="H6" s="4" t="s">
        <v>21</v>
      </c>
      <c r="I6" s="4" t="s">
        <v>39</v>
      </c>
      <c r="J6" s="8">
        <v>44297</v>
      </c>
      <c r="K6" s="8" t="s">
        <v>23</v>
      </c>
      <c r="L6" s="5" t="s">
        <v>21</v>
      </c>
      <c r="M6" s="5" t="s">
        <v>40</v>
      </c>
      <c r="N6" s="5">
        <v>0</v>
      </c>
      <c r="O6" s="9">
        <f>YEAR(Table2[[#This Row],[Date of Joining]])</f>
        <v>2021</v>
      </c>
      <c r="P6" s="9" t="str">
        <f t="shared" ca="1" si="0"/>
        <v>4+ years</v>
      </c>
    </row>
    <row r="7" spans="1:16" x14ac:dyDescent="0.3">
      <c r="A7" s="3" t="s">
        <v>25</v>
      </c>
      <c r="B7" s="3"/>
      <c r="C7" s="4" t="s">
        <v>41</v>
      </c>
      <c r="D7" s="5" t="s">
        <v>42</v>
      </c>
      <c r="E7" s="6">
        <v>44655</v>
      </c>
      <c r="F7" s="6">
        <v>44758</v>
      </c>
      <c r="G7" s="5" t="s">
        <v>43</v>
      </c>
      <c r="H7" s="4" t="s">
        <v>21</v>
      </c>
      <c r="I7" s="4" t="s">
        <v>22</v>
      </c>
      <c r="J7" s="8">
        <v>44431</v>
      </c>
      <c r="K7" s="8" t="s">
        <v>23</v>
      </c>
      <c r="L7" s="5" t="s">
        <v>21</v>
      </c>
      <c r="M7" s="5" t="s">
        <v>44</v>
      </c>
      <c r="N7" s="5">
        <v>2</v>
      </c>
      <c r="O7" s="9">
        <f>YEAR(Table2[[#This Row],[Date of Joining]])</f>
        <v>2022</v>
      </c>
      <c r="P7" s="9" t="str">
        <f t="shared" ca="1" si="0"/>
        <v>4+ years</v>
      </c>
    </row>
    <row r="8" spans="1:16" x14ac:dyDescent="0.3">
      <c r="A8" s="3" t="s">
        <v>25</v>
      </c>
      <c r="B8" s="3"/>
      <c r="C8" s="4" t="s">
        <v>45</v>
      </c>
      <c r="D8" s="5" t="s">
        <v>46</v>
      </c>
      <c r="E8" s="6">
        <v>44715</v>
      </c>
      <c r="F8" s="6">
        <v>44951</v>
      </c>
      <c r="G8" s="7" t="s">
        <v>38</v>
      </c>
      <c r="H8" s="4" t="s">
        <v>21</v>
      </c>
      <c r="I8" s="4" t="s">
        <v>22</v>
      </c>
      <c r="J8" s="8">
        <v>44226</v>
      </c>
      <c r="K8" s="8" t="s">
        <v>23</v>
      </c>
      <c r="L8" s="5" t="s">
        <v>21</v>
      </c>
      <c r="M8" s="5" t="s">
        <v>40</v>
      </c>
      <c r="N8" s="5">
        <v>2.8</v>
      </c>
      <c r="O8" s="9">
        <f>YEAR(Table2[[#This Row],[Date of Joining]])</f>
        <v>2022</v>
      </c>
      <c r="P8" s="9" t="str">
        <f t="shared" ca="1" si="0"/>
        <v>4+ years</v>
      </c>
    </row>
    <row r="9" spans="1:16" x14ac:dyDescent="0.3">
      <c r="A9" s="3" t="s">
        <v>25</v>
      </c>
      <c r="B9" s="3"/>
      <c r="C9" s="4" t="s">
        <v>47</v>
      </c>
      <c r="D9" s="5" t="s">
        <v>48</v>
      </c>
      <c r="E9" s="6">
        <v>44721</v>
      </c>
      <c r="F9" s="6">
        <v>45149</v>
      </c>
      <c r="G9" s="7" t="s">
        <v>38</v>
      </c>
      <c r="H9" s="4" t="s">
        <v>21</v>
      </c>
      <c r="I9" s="4" t="s">
        <v>22</v>
      </c>
      <c r="J9" s="8">
        <v>44497</v>
      </c>
      <c r="K9" s="8" t="s">
        <v>23</v>
      </c>
      <c r="L9" s="5" t="s">
        <v>21</v>
      </c>
      <c r="M9" s="5" t="s">
        <v>49</v>
      </c>
      <c r="N9" s="5">
        <v>0</v>
      </c>
      <c r="O9" s="9">
        <f>YEAR(Table2[[#This Row],[Date of Joining]])</f>
        <v>2022</v>
      </c>
      <c r="P9" s="9" t="str">
        <f t="shared" ca="1" si="0"/>
        <v>3+ years</v>
      </c>
    </row>
    <row r="10" spans="1:16" x14ac:dyDescent="0.3">
      <c r="A10" s="3" t="s">
        <v>25</v>
      </c>
      <c r="B10" s="3"/>
      <c r="C10" s="4" t="s">
        <v>50</v>
      </c>
      <c r="D10" s="5" t="s">
        <v>51</v>
      </c>
      <c r="E10" s="6">
        <v>44749</v>
      </c>
      <c r="F10" s="6">
        <v>45168</v>
      </c>
      <c r="G10" s="5" t="s">
        <v>52</v>
      </c>
      <c r="H10" s="4" t="s">
        <v>21</v>
      </c>
      <c r="I10" s="4" t="s">
        <v>22</v>
      </c>
      <c r="J10" s="8">
        <v>44556</v>
      </c>
      <c r="K10" s="8" t="s">
        <v>23</v>
      </c>
      <c r="L10" s="5" t="s">
        <v>21</v>
      </c>
      <c r="M10" s="5" t="s">
        <v>49</v>
      </c>
      <c r="N10" s="5">
        <v>3</v>
      </c>
      <c r="O10" s="9">
        <f>YEAR(Table2[[#This Row],[Date of Joining]])</f>
        <v>2022</v>
      </c>
      <c r="P10" s="9" t="str">
        <f t="shared" ca="1" si="0"/>
        <v>3+ years</v>
      </c>
    </row>
    <row r="11" spans="1:16" x14ac:dyDescent="0.3">
      <c r="A11" s="3" t="s">
        <v>25</v>
      </c>
      <c r="B11" s="3"/>
      <c r="C11" s="4" t="s">
        <v>53</v>
      </c>
      <c r="D11" s="5" t="s">
        <v>54</v>
      </c>
      <c r="E11" s="6">
        <v>44777</v>
      </c>
      <c r="F11" s="6">
        <v>45059</v>
      </c>
      <c r="G11" s="7" t="s">
        <v>38</v>
      </c>
      <c r="H11" s="4" t="s">
        <v>21</v>
      </c>
      <c r="I11" s="4" t="s">
        <v>22</v>
      </c>
      <c r="J11" s="8">
        <v>44293</v>
      </c>
      <c r="K11" s="8" t="s">
        <v>23</v>
      </c>
      <c r="L11" s="5" t="s">
        <v>21</v>
      </c>
      <c r="M11" s="5" t="s">
        <v>35</v>
      </c>
      <c r="N11" s="5">
        <v>5.9</v>
      </c>
      <c r="O11" s="9">
        <f>YEAR(Table2[[#This Row],[Date of Joining]])</f>
        <v>2022</v>
      </c>
      <c r="P11" s="9" t="str">
        <f t="shared" ca="1" si="0"/>
        <v>3+ years</v>
      </c>
    </row>
    <row r="12" spans="1:16" x14ac:dyDescent="0.3">
      <c r="A12" s="3" t="s">
        <v>16</v>
      </c>
      <c r="B12" s="3"/>
      <c r="C12" s="4" t="s">
        <v>55</v>
      </c>
      <c r="D12" s="5" t="s">
        <v>56</v>
      </c>
      <c r="E12" s="6">
        <v>44805</v>
      </c>
      <c r="F12" s="6"/>
      <c r="G12" s="7" t="s">
        <v>57</v>
      </c>
      <c r="H12" s="4" t="s">
        <v>21</v>
      </c>
      <c r="I12" s="4" t="s">
        <v>22</v>
      </c>
      <c r="J12" s="8">
        <v>44487</v>
      </c>
      <c r="K12" s="8" t="s">
        <v>28</v>
      </c>
      <c r="L12" s="5" t="s">
        <v>21</v>
      </c>
      <c r="M12" s="5" t="s">
        <v>44</v>
      </c>
      <c r="N12" s="5">
        <v>10</v>
      </c>
      <c r="O12" s="9">
        <f>YEAR(Table2[[#This Row],[Date of Joining]])</f>
        <v>2022</v>
      </c>
      <c r="P12" s="9" t="str">
        <f t="shared" ca="1" si="0"/>
        <v>3+ years</v>
      </c>
    </row>
    <row r="13" spans="1:16" x14ac:dyDescent="0.3">
      <c r="A13" s="3" t="s">
        <v>25</v>
      </c>
      <c r="B13" s="3"/>
      <c r="C13" s="4" t="s">
        <v>58</v>
      </c>
      <c r="D13" s="5" t="s">
        <v>59</v>
      </c>
      <c r="E13" s="6">
        <v>44812</v>
      </c>
      <c r="F13" s="6">
        <v>45290</v>
      </c>
      <c r="G13" s="7" t="s">
        <v>57</v>
      </c>
      <c r="H13" s="4" t="s">
        <v>21</v>
      </c>
      <c r="I13" s="4" t="s">
        <v>39</v>
      </c>
      <c r="J13" s="8">
        <v>44312</v>
      </c>
      <c r="K13" s="8" t="s">
        <v>23</v>
      </c>
      <c r="L13" s="5" t="s">
        <v>21</v>
      </c>
      <c r="M13" s="5" t="s">
        <v>40</v>
      </c>
      <c r="N13" s="5">
        <v>1</v>
      </c>
      <c r="O13" s="9">
        <f>YEAR(Table2[[#This Row],[Date of Joining]])</f>
        <v>2022</v>
      </c>
      <c r="P13" s="9" t="str">
        <f t="shared" ca="1" si="0"/>
        <v>3+ years</v>
      </c>
    </row>
    <row r="14" spans="1:16" x14ac:dyDescent="0.3">
      <c r="A14" s="3" t="s">
        <v>16</v>
      </c>
      <c r="B14" s="3"/>
      <c r="C14" s="4" t="s">
        <v>60</v>
      </c>
      <c r="D14" s="5" t="s">
        <v>61</v>
      </c>
      <c r="E14" s="6">
        <v>44873</v>
      </c>
      <c r="F14" s="6"/>
      <c r="G14" s="7" t="s">
        <v>57</v>
      </c>
      <c r="H14" s="4" t="s">
        <v>21</v>
      </c>
      <c r="I14" s="4" t="s">
        <v>22</v>
      </c>
      <c r="J14" s="8">
        <v>44496</v>
      </c>
      <c r="K14" s="8" t="s">
        <v>28</v>
      </c>
      <c r="L14" s="5" t="s">
        <v>21</v>
      </c>
      <c r="M14" s="5" t="s">
        <v>62</v>
      </c>
      <c r="N14" s="5">
        <v>10</v>
      </c>
      <c r="O14" s="9">
        <f>YEAR(Table2[[#This Row],[Date of Joining]])</f>
        <v>2022</v>
      </c>
      <c r="P14" s="9" t="str">
        <f t="shared" ca="1" si="0"/>
        <v>3+ years</v>
      </c>
    </row>
    <row r="15" spans="1:16" x14ac:dyDescent="0.3">
      <c r="A15" s="3" t="s">
        <v>25</v>
      </c>
      <c r="B15" s="3"/>
      <c r="C15" s="4" t="s">
        <v>63</v>
      </c>
      <c r="D15" s="5" t="s">
        <v>64</v>
      </c>
      <c r="E15" s="6">
        <v>44947</v>
      </c>
      <c r="F15" s="6">
        <v>45251</v>
      </c>
      <c r="G15" s="7" t="s">
        <v>65</v>
      </c>
      <c r="H15" s="4" t="s">
        <v>21</v>
      </c>
      <c r="I15" s="4" t="s">
        <v>22</v>
      </c>
      <c r="J15" s="8">
        <v>44445</v>
      </c>
      <c r="K15" s="8" t="s">
        <v>23</v>
      </c>
      <c r="L15" s="5" t="s">
        <v>21</v>
      </c>
      <c r="M15" s="5" t="s">
        <v>40</v>
      </c>
      <c r="N15" s="5">
        <v>0</v>
      </c>
      <c r="O15" s="9">
        <f>YEAR(Table2[[#This Row],[Date of Joining]])</f>
        <v>2023</v>
      </c>
      <c r="P15" s="9" t="str">
        <f t="shared" ca="1" si="0"/>
        <v>3+ years</v>
      </c>
    </row>
    <row r="16" spans="1:16" x14ac:dyDescent="0.3">
      <c r="A16" s="3" t="s">
        <v>25</v>
      </c>
      <c r="B16" s="3"/>
      <c r="C16" s="4" t="s">
        <v>66</v>
      </c>
      <c r="D16" s="5" t="s">
        <v>67</v>
      </c>
      <c r="E16" s="6">
        <v>45083</v>
      </c>
      <c r="F16" s="6">
        <v>45415</v>
      </c>
      <c r="G16" s="7" t="s">
        <v>65</v>
      </c>
      <c r="H16" s="4" t="s">
        <v>21</v>
      </c>
      <c r="I16" s="4" t="s">
        <v>39</v>
      </c>
      <c r="J16" s="8">
        <v>44620</v>
      </c>
      <c r="K16" s="8" t="s">
        <v>23</v>
      </c>
      <c r="L16" s="5" t="s">
        <v>21</v>
      </c>
      <c r="M16" s="5" t="s">
        <v>49</v>
      </c>
      <c r="N16" s="5">
        <v>0.1</v>
      </c>
      <c r="O16" s="9">
        <f>YEAR(Table2[[#This Row],[Date of Joining]])</f>
        <v>2023</v>
      </c>
      <c r="P16" s="9" t="str">
        <f t="shared" ca="1" si="0"/>
        <v>3+ years</v>
      </c>
    </row>
    <row r="17" spans="1:16" x14ac:dyDescent="0.3">
      <c r="A17" s="3" t="s">
        <v>16</v>
      </c>
      <c r="B17" s="3"/>
      <c r="C17" s="4" t="s">
        <v>68</v>
      </c>
      <c r="D17" s="5" t="s">
        <v>69</v>
      </c>
      <c r="E17" s="6">
        <v>45218</v>
      </c>
      <c r="F17" s="6"/>
      <c r="G17" s="7" t="s">
        <v>65</v>
      </c>
      <c r="H17" s="4" t="s">
        <v>21</v>
      </c>
      <c r="I17" s="4" t="s">
        <v>39</v>
      </c>
      <c r="J17" s="8">
        <v>44830</v>
      </c>
      <c r="K17" s="8" t="s">
        <v>23</v>
      </c>
      <c r="L17" s="5" t="s">
        <v>21</v>
      </c>
      <c r="M17" s="5" t="s">
        <v>49</v>
      </c>
      <c r="N17" s="5">
        <v>0</v>
      </c>
      <c r="O17" s="9">
        <f>YEAR(Table2[[#This Row],[Date of Joining]])</f>
        <v>2023</v>
      </c>
      <c r="P17" s="9" t="str">
        <f t="shared" ca="1" si="0"/>
        <v>2+ years</v>
      </c>
    </row>
    <row r="18" spans="1:16" x14ac:dyDescent="0.3">
      <c r="A18" s="3" t="s">
        <v>16</v>
      </c>
      <c r="B18" s="3"/>
      <c r="C18" s="4" t="s">
        <v>70</v>
      </c>
      <c r="D18" s="5" t="s">
        <v>71</v>
      </c>
      <c r="E18" s="6">
        <v>45274</v>
      </c>
      <c r="F18" s="6"/>
      <c r="G18" s="7" t="s">
        <v>65</v>
      </c>
      <c r="H18" s="4" t="s">
        <v>21</v>
      </c>
      <c r="I18" s="4" t="s">
        <v>39</v>
      </c>
      <c r="J18" s="8">
        <v>44877</v>
      </c>
      <c r="K18" s="8" t="s">
        <v>23</v>
      </c>
      <c r="L18" s="5" t="s">
        <v>21</v>
      </c>
      <c r="M18" s="5" t="s">
        <v>35</v>
      </c>
      <c r="N18" s="5">
        <v>4</v>
      </c>
      <c r="O18" s="9">
        <f>YEAR(Table2[[#This Row],[Date of Joining]])</f>
        <v>2023</v>
      </c>
      <c r="P18" s="9" t="str">
        <f t="shared" ca="1" si="0"/>
        <v>2+ years</v>
      </c>
    </row>
    <row r="19" spans="1:16" x14ac:dyDescent="0.3">
      <c r="A19" s="3" t="s">
        <v>16</v>
      </c>
      <c r="B19" s="3"/>
      <c r="C19" s="4" t="s">
        <v>72</v>
      </c>
      <c r="D19" s="5" t="s">
        <v>73</v>
      </c>
      <c r="E19" s="6">
        <v>45328</v>
      </c>
      <c r="F19" s="6"/>
      <c r="G19" s="7" t="s">
        <v>20</v>
      </c>
      <c r="H19" s="4" t="s">
        <v>21</v>
      </c>
      <c r="I19" s="4" t="s">
        <v>22</v>
      </c>
      <c r="J19" s="8">
        <v>44558</v>
      </c>
      <c r="K19" s="8" t="s">
        <v>23</v>
      </c>
      <c r="L19" s="5" t="s">
        <v>21</v>
      </c>
      <c r="M19" s="5" t="s">
        <v>49</v>
      </c>
      <c r="N19" s="5">
        <v>0</v>
      </c>
      <c r="O19" s="9">
        <f>YEAR(Table2[[#This Row],[Date of Joining]])</f>
        <v>2024</v>
      </c>
      <c r="P19" s="9" t="str">
        <f t="shared" ca="1" si="0"/>
        <v>2+ years</v>
      </c>
    </row>
    <row r="20" spans="1:16" x14ac:dyDescent="0.3">
      <c r="A20" s="3" t="s">
        <v>16</v>
      </c>
      <c r="B20" s="3"/>
      <c r="C20" s="4" t="s">
        <v>74</v>
      </c>
      <c r="D20" s="5" t="s">
        <v>75</v>
      </c>
      <c r="E20" s="6">
        <v>45378</v>
      </c>
      <c r="F20" s="6"/>
      <c r="G20" s="7" t="s">
        <v>65</v>
      </c>
      <c r="H20" s="4" t="s">
        <v>21</v>
      </c>
      <c r="I20" s="4" t="s">
        <v>22</v>
      </c>
      <c r="J20" s="8">
        <v>37686</v>
      </c>
      <c r="K20" s="8" t="s">
        <v>28</v>
      </c>
      <c r="L20" s="5" t="s">
        <v>21</v>
      </c>
      <c r="M20" s="5" t="s">
        <v>40</v>
      </c>
      <c r="N20" s="5">
        <v>10</v>
      </c>
      <c r="O20" s="9">
        <f>YEAR(Table2[[#This Row],[Date of Joining]])</f>
        <v>2024</v>
      </c>
      <c r="P20" s="9" t="str">
        <f t="shared" ca="1" si="0"/>
        <v>2+ years</v>
      </c>
    </row>
    <row r="21" spans="1:16" x14ac:dyDescent="0.3">
      <c r="A21" s="3" t="s">
        <v>16</v>
      </c>
      <c r="B21" s="3"/>
      <c r="C21" s="4" t="s">
        <v>76</v>
      </c>
      <c r="D21" s="5" t="s">
        <v>77</v>
      </c>
      <c r="E21" s="6">
        <v>45444</v>
      </c>
      <c r="F21" s="6"/>
      <c r="G21" s="7" t="s">
        <v>65</v>
      </c>
      <c r="H21" s="4" t="s">
        <v>21</v>
      </c>
      <c r="I21" s="4" t="s">
        <v>39</v>
      </c>
      <c r="J21" s="8">
        <v>44898</v>
      </c>
      <c r="K21" s="8" t="s">
        <v>28</v>
      </c>
      <c r="L21" s="5" t="s">
        <v>21</v>
      </c>
      <c r="M21" s="5" t="s">
        <v>35</v>
      </c>
      <c r="N21" s="5">
        <v>4</v>
      </c>
      <c r="O21" s="9">
        <f>YEAR(Table2[[#This Row],[Date of Joining]])</f>
        <v>2024</v>
      </c>
      <c r="P21" s="9" t="str">
        <f t="shared" ca="1" si="0"/>
        <v>2+ years</v>
      </c>
    </row>
    <row r="22" spans="1:16" x14ac:dyDescent="0.3">
      <c r="A22" s="3" t="s">
        <v>16</v>
      </c>
      <c r="B22" s="3"/>
      <c r="C22" s="4" t="s">
        <v>78</v>
      </c>
      <c r="D22" s="5" t="s">
        <v>79</v>
      </c>
      <c r="E22" s="6">
        <v>45662</v>
      </c>
      <c r="F22" s="6"/>
      <c r="G22" s="5" t="s">
        <v>80</v>
      </c>
      <c r="H22" s="4" t="s">
        <v>21</v>
      </c>
      <c r="I22" s="4" t="s">
        <v>39</v>
      </c>
      <c r="J22" s="8">
        <v>44338</v>
      </c>
      <c r="K22" s="8" t="s">
        <v>28</v>
      </c>
      <c r="L22" s="5" t="s">
        <v>21</v>
      </c>
      <c r="M22" s="5" t="s">
        <v>44</v>
      </c>
      <c r="N22" s="5">
        <v>4.8</v>
      </c>
      <c r="O22" s="9">
        <f>YEAR(Table2[[#This Row],[Date of Joining]])</f>
        <v>2025</v>
      </c>
      <c r="P22" s="9" t="str">
        <f t="shared" ca="1" si="0"/>
        <v>1+ years</v>
      </c>
    </row>
    <row r="23" spans="1:16" x14ac:dyDescent="0.3">
      <c r="A23" s="3" t="s">
        <v>16</v>
      </c>
      <c r="B23" s="3"/>
      <c r="C23" s="4" t="s">
        <v>81</v>
      </c>
      <c r="D23" s="5" t="s">
        <v>82</v>
      </c>
      <c r="E23" s="6">
        <v>45671</v>
      </c>
      <c r="F23" s="6"/>
      <c r="G23" s="5" t="s">
        <v>80</v>
      </c>
      <c r="H23" s="4" t="s">
        <v>21</v>
      </c>
      <c r="I23" s="4" t="s">
        <v>22</v>
      </c>
      <c r="J23" s="8">
        <v>44236</v>
      </c>
      <c r="K23" s="8" t="s">
        <v>23</v>
      </c>
      <c r="L23" s="5" t="s">
        <v>21</v>
      </c>
      <c r="M23" s="5" t="s">
        <v>24</v>
      </c>
      <c r="N23" s="5">
        <v>9</v>
      </c>
      <c r="O23" s="9">
        <f>YEAR(Table2[[#This Row],[Date of Joining]])</f>
        <v>2025</v>
      </c>
      <c r="P23" s="9" t="str">
        <f t="shared" ca="1" si="0"/>
        <v>1+ years</v>
      </c>
    </row>
    <row r="24" spans="1:16" x14ac:dyDescent="0.3">
      <c r="A24" s="3" t="s">
        <v>16</v>
      </c>
      <c r="B24" s="3"/>
      <c r="C24" s="4" t="s">
        <v>83</v>
      </c>
      <c r="D24" s="5" t="s">
        <v>84</v>
      </c>
      <c r="E24" s="6">
        <v>45775</v>
      </c>
      <c r="F24" s="6"/>
      <c r="G24" s="7" t="s">
        <v>38</v>
      </c>
      <c r="H24" s="4" t="s">
        <v>21</v>
      </c>
      <c r="I24" s="4" t="s">
        <v>22</v>
      </c>
      <c r="J24" s="8">
        <v>44536</v>
      </c>
      <c r="K24" s="8" t="s">
        <v>28</v>
      </c>
      <c r="L24" s="5" t="s">
        <v>21</v>
      </c>
      <c r="M24" s="5" t="s">
        <v>40</v>
      </c>
      <c r="N24" s="5">
        <v>8</v>
      </c>
      <c r="O24" s="9">
        <f>YEAR(Table2[[#This Row],[Date of Joining]])</f>
        <v>2025</v>
      </c>
      <c r="P24" s="9" t="str">
        <f t="shared" ca="1" si="0"/>
        <v>1+ years</v>
      </c>
    </row>
    <row r="25" spans="1:16" x14ac:dyDescent="0.3">
      <c r="A25" s="3" t="s">
        <v>16</v>
      </c>
      <c r="B25" s="3" t="s">
        <v>17</v>
      </c>
      <c r="C25" s="4">
        <v>107224</v>
      </c>
      <c r="D25" s="5" t="s">
        <v>85</v>
      </c>
      <c r="E25" s="6">
        <v>43867</v>
      </c>
      <c r="F25" s="6"/>
      <c r="G25" s="7" t="s">
        <v>20</v>
      </c>
      <c r="H25" s="4" t="s">
        <v>86</v>
      </c>
      <c r="I25" s="4" t="s">
        <v>22</v>
      </c>
      <c r="J25" s="8">
        <v>44433</v>
      </c>
      <c r="K25" s="8" t="s">
        <v>23</v>
      </c>
      <c r="L25" s="5" t="s">
        <v>29</v>
      </c>
      <c r="M25" s="5" t="s">
        <v>24</v>
      </c>
      <c r="N25" s="5">
        <v>13</v>
      </c>
      <c r="O25" s="9">
        <f>YEAR(Table2[[#This Row],[Date of Joining]])</f>
        <v>2020</v>
      </c>
      <c r="P25" s="9" t="str">
        <f t="shared" ca="1" si="0"/>
        <v>5+ years</v>
      </c>
    </row>
    <row r="26" spans="1:16" x14ac:dyDescent="0.3">
      <c r="A26" s="3" t="s">
        <v>25</v>
      </c>
      <c r="B26" s="3" t="s">
        <v>17</v>
      </c>
      <c r="C26" s="4">
        <v>148467</v>
      </c>
      <c r="D26" s="5" t="s">
        <v>87</v>
      </c>
      <c r="E26" s="6">
        <v>43869</v>
      </c>
      <c r="F26" s="6">
        <v>45473</v>
      </c>
      <c r="G26" s="5" t="s">
        <v>80</v>
      </c>
      <c r="H26" s="4" t="s">
        <v>86</v>
      </c>
      <c r="I26" s="4" t="s">
        <v>39</v>
      </c>
      <c r="J26" s="8">
        <v>44494</v>
      </c>
      <c r="K26" s="8" t="s">
        <v>23</v>
      </c>
      <c r="L26" s="5" t="s">
        <v>29</v>
      </c>
      <c r="M26" s="5" t="s">
        <v>30</v>
      </c>
      <c r="N26" s="5">
        <v>5</v>
      </c>
      <c r="O26" s="9">
        <f>YEAR(Table2[[#This Row],[Date of Joining]])</f>
        <v>2020</v>
      </c>
      <c r="P26" s="9" t="str">
        <f t="shared" ca="1" si="0"/>
        <v>5+ years</v>
      </c>
    </row>
    <row r="27" spans="1:16" x14ac:dyDescent="0.3">
      <c r="A27" s="3" t="s">
        <v>25</v>
      </c>
      <c r="B27" s="3"/>
      <c r="C27" s="4">
        <v>114416</v>
      </c>
      <c r="D27" s="5" t="s">
        <v>88</v>
      </c>
      <c r="E27" s="6">
        <v>43874</v>
      </c>
      <c r="F27" s="6">
        <v>45300</v>
      </c>
      <c r="G27" s="7" t="s">
        <v>65</v>
      </c>
      <c r="H27" s="4" t="s">
        <v>86</v>
      </c>
      <c r="I27" s="4" t="s">
        <v>22</v>
      </c>
      <c r="J27" s="8">
        <v>44524</v>
      </c>
      <c r="K27" s="8" t="s">
        <v>28</v>
      </c>
      <c r="L27" s="5" t="s">
        <v>89</v>
      </c>
      <c r="M27" s="5" t="s">
        <v>44</v>
      </c>
      <c r="N27" s="5">
        <v>8</v>
      </c>
      <c r="O27" s="9">
        <f>YEAR(Table2[[#This Row],[Date of Joining]])</f>
        <v>2020</v>
      </c>
      <c r="P27" s="9" t="str">
        <f t="shared" ca="1" si="0"/>
        <v>5+ years</v>
      </c>
    </row>
    <row r="28" spans="1:16" x14ac:dyDescent="0.3">
      <c r="A28" s="3" t="s">
        <v>16</v>
      </c>
      <c r="B28" s="3"/>
      <c r="C28" s="4">
        <v>189095</v>
      </c>
      <c r="D28" s="5" t="s">
        <v>90</v>
      </c>
      <c r="E28" s="6">
        <v>43887</v>
      </c>
      <c r="F28" s="6"/>
      <c r="G28" s="7" t="s">
        <v>65</v>
      </c>
      <c r="H28" s="4" t="s">
        <v>86</v>
      </c>
      <c r="I28" s="4" t="s">
        <v>22</v>
      </c>
      <c r="J28" s="8">
        <v>44504</v>
      </c>
      <c r="K28" s="8" t="s">
        <v>23</v>
      </c>
      <c r="L28" s="5" t="s">
        <v>89</v>
      </c>
      <c r="M28" s="5" t="s">
        <v>24</v>
      </c>
      <c r="N28" s="5">
        <v>17</v>
      </c>
      <c r="O28" s="9">
        <f>YEAR(Table2[[#This Row],[Date of Joining]])</f>
        <v>2020</v>
      </c>
      <c r="P28" s="9" t="str">
        <f t="shared" ca="1" si="0"/>
        <v>5+ years</v>
      </c>
    </row>
    <row r="29" spans="1:16" x14ac:dyDescent="0.3">
      <c r="A29" s="3" t="s">
        <v>25</v>
      </c>
      <c r="B29" s="3"/>
      <c r="C29" s="4">
        <v>123874</v>
      </c>
      <c r="D29" s="5" t="s">
        <v>91</v>
      </c>
      <c r="E29" s="6">
        <v>43901</v>
      </c>
      <c r="F29" s="6">
        <v>44560</v>
      </c>
      <c r="G29" s="7" t="s">
        <v>65</v>
      </c>
      <c r="H29" s="4" t="s">
        <v>86</v>
      </c>
      <c r="I29" s="4" t="s">
        <v>22</v>
      </c>
      <c r="J29" s="8">
        <v>44558</v>
      </c>
      <c r="K29" s="8" t="s">
        <v>28</v>
      </c>
      <c r="L29" s="5" t="s">
        <v>29</v>
      </c>
      <c r="M29" s="5" t="s">
        <v>30</v>
      </c>
      <c r="N29" s="5">
        <v>14</v>
      </c>
      <c r="O29" s="9">
        <f>YEAR(Table2[[#This Row],[Date of Joining]])</f>
        <v>2020</v>
      </c>
      <c r="P29" s="9" t="str">
        <f t="shared" ca="1" si="0"/>
        <v>5+ years</v>
      </c>
    </row>
    <row r="30" spans="1:16" x14ac:dyDescent="0.3">
      <c r="A30" s="3" t="s">
        <v>16</v>
      </c>
      <c r="B30" s="3" t="s">
        <v>17</v>
      </c>
      <c r="C30" s="4">
        <v>147637</v>
      </c>
      <c r="D30" s="5" t="s">
        <v>57</v>
      </c>
      <c r="E30" s="6">
        <v>43916</v>
      </c>
      <c r="F30" s="6"/>
      <c r="G30" s="7" t="s">
        <v>20</v>
      </c>
      <c r="H30" s="4" t="s">
        <v>86</v>
      </c>
      <c r="I30" s="4" t="s">
        <v>22</v>
      </c>
      <c r="J30" s="8">
        <v>44314</v>
      </c>
      <c r="K30" s="8" t="s">
        <v>23</v>
      </c>
      <c r="L30" s="5" t="s">
        <v>29</v>
      </c>
      <c r="M30" s="5" t="s">
        <v>44</v>
      </c>
      <c r="N30" s="5">
        <v>14</v>
      </c>
      <c r="O30" s="9">
        <f>YEAR(Table2[[#This Row],[Date of Joining]])</f>
        <v>2020</v>
      </c>
      <c r="P30" s="9" t="str">
        <f t="shared" ca="1" si="0"/>
        <v>5+ years</v>
      </c>
    </row>
    <row r="31" spans="1:16" x14ac:dyDescent="0.3">
      <c r="A31" s="3" t="s">
        <v>16</v>
      </c>
      <c r="B31" s="3" t="s">
        <v>17</v>
      </c>
      <c r="C31" s="4">
        <v>183900</v>
      </c>
      <c r="D31" s="5" t="s">
        <v>92</v>
      </c>
      <c r="E31" s="6">
        <v>43950</v>
      </c>
      <c r="F31" s="6"/>
      <c r="G31" s="7" t="s">
        <v>65</v>
      </c>
      <c r="H31" s="4" t="s">
        <v>86</v>
      </c>
      <c r="I31" s="4" t="s">
        <v>22</v>
      </c>
      <c r="J31" s="8">
        <v>44309</v>
      </c>
      <c r="K31" s="8" t="s">
        <v>23</v>
      </c>
      <c r="L31" s="5" t="s">
        <v>89</v>
      </c>
      <c r="M31" s="5" t="s">
        <v>30</v>
      </c>
      <c r="N31" s="5">
        <v>13</v>
      </c>
      <c r="O31" s="9">
        <f>YEAR(Table2[[#This Row],[Date of Joining]])</f>
        <v>2020</v>
      </c>
      <c r="P31" s="9" t="str">
        <f t="shared" ca="1" si="0"/>
        <v>5+ years</v>
      </c>
    </row>
    <row r="32" spans="1:16" x14ac:dyDescent="0.3">
      <c r="A32" s="3" t="s">
        <v>16</v>
      </c>
      <c r="B32" s="3"/>
      <c r="C32" s="4">
        <v>110700</v>
      </c>
      <c r="D32" s="5" t="s">
        <v>93</v>
      </c>
      <c r="E32" s="6">
        <v>43971</v>
      </c>
      <c r="F32" s="6"/>
      <c r="G32" s="7" t="s">
        <v>65</v>
      </c>
      <c r="H32" s="4" t="s">
        <v>86</v>
      </c>
      <c r="I32" s="4" t="s">
        <v>22</v>
      </c>
      <c r="J32" s="8">
        <v>44307</v>
      </c>
      <c r="K32" s="8" t="s">
        <v>23</v>
      </c>
      <c r="L32" s="5" t="s">
        <v>89</v>
      </c>
      <c r="M32" s="5" t="s">
        <v>44</v>
      </c>
      <c r="N32" s="5">
        <v>13</v>
      </c>
      <c r="O32" s="9">
        <f>YEAR(Table2[[#This Row],[Date of Joining]])</f>
        <v>2020</v>
      </c>
      <c r="P32" s="9" t="str">
        <f t="shared" ca="1" si="0"/>
        <v>5+ years</v>
      </c>
    </row>
    <row r="33" spans="1:16" x14ac:dyDescent="0.3">
      <c r="A33" s="3" t="s">
        <v>16</v>
      </c>
      <c r="B33" s="3" t="s">
        <v>17</v>
      </c>
      <c r="C33" s="4">
        <v>188035</v>
      </c>
      <c r="D33" s="5" t="s">
        <v>94</v>
      </c>
      <c r="E33" s="6">
        <v>43994</v>
      </c>
      <c r="F33" s="6"/>
      <c r="G33" s="7" t="s">
        <v>57</v>
      </c>
      <c r="H33" s="4" t="s">
        <v>86</v>
      </c>
      <c r="I33" s="4" t="s">
        <v>22</v>
      </c>
      <c r="J33" s="8">
        <v>44781</v>
      </c>
      <c r="K33" s="8" t="s">
        <v>23</v>
      </c>
      <c r="L33" s="5" t="s">
        <v>29</v>
      </c>
      <c r="M33" s="5" t="s">
        <v>24</v>
      </c>
      <c r="N33" s="5">
        <v>7</v>
      </c>
      <c r="O33" s="9">
        <f>YEAR(Table2[[#This Row],[Date of Joining]])</f>
        <v>2020</v>
      </c>
      <c r="P33" s="9" t="str">
        <f t="shared" ca="1" si="0"/>
        <v>5+ years</v>
      </c>
    </row>
    <row r="34" spans="1:16" x14ac:dyDescent="0.3">
      <c r="A34" s="3" t="s">
        <v>16</v>
      </c>
      <c r="B34" s="3"/>
      <c r="C34" s="4">
        <v>131049</v>
      </c>
      <c r="D34" s="5" t="s">
        <v>95</v>
      </c>
      <c r="E34" s="6">
        <v>44000</v>
      </c>
      <c r="F34" s="6"/>
      <c r="G34" s="7" t="s">
        <v>65</v>
      </c>
      <c r="H34" s="4" t="s">
        <v>86</v>
      </c>
      <c r="I34" s="4" t="s">
        <v>22</v>
      </c>
      <c r="J34" s="8">
        <v>44561</v>
      </c>
      <c r="K34" s="8" t="s">
        <v>23</v>
      </c>
      <c r="L34" s="5" t="s">
        <v>89</v>
      </c>
      <c r="M34" s="5" t="s">
        <v>24</v>
      </c>
      <c r="N34" s="5">
        <v>13</v>
      </c>
      <c r="O34" s="9">
        <f>YEAR(Table2[[#This Row],[Date of Joining]])</f>
        <v>2020</v>
      </c>
      <c r="P34" s="9" t="str">
        <f t="shared" ca="1" si="0"/>
        <v>5+ years</v>
      </c>
    </row>
    <row r="35" spans="1:16" x14ac:dyDescent="0.3">
      <c r="A35" s="3" t="s">
        <v>25</v>
      </c>
      <c r="B35" s="3"/>
      <c r="C35" s="4">
        <v>180582</v>
      </c>
      <c r="D35" s="5" t="s">
        <v>96</v>
      </c>
      <c r="E35" s="6">
        <v>44008</v>
      </c>
      <c r="F35" s="6">
        <v>44377</v>
      </c>
      <c r="G35" s="7" t="s">
        <v>57</v>
      </c>
      <c r="H35" s="4" t="s">
        <v>86</v>
      </c>
      <c r="I35" s="4" t="s">
        <v>39</v>
      </c>
      <c r="J35" s="8">
        <v>44343</v>
      </c>
      <c r="K35" s="8" t="s">
        <v>23</v>
      </c>
      <c r="L35" s="5" t="s">
        <v>97</v>
      </c>
      <c r="M35" s="5" t="s">
        <v>30</v>
      </c>
      <c r="N35" s="5">
        <v>0</v>
      </c>
      <c r="O35" s="9">
        <f>YEAR(Table2[[#This Row],[Date of Joining]])</f>
        <v>2020</v>
      </c>
      <c r="P35" s="9" t="str">
        <f t="shared" ca="1" si="0"/>
        <v>5+ years</v>
      </c>
    </row>
    <row r="36" spans="1:16" x14ac:dyDescent="0.3">
      <c r="A36" s="3" t="s">
        <v>16</v>
      </c>
      <c r="B36" s="3"/>
      <c r="C36" s="4">
        <v>126718</v>
      </c>
      <c r="D36" s="5" t="s">
        <v>98</v>
      </c>
      <c r="E36" s="6">
        <v>44020</v>
      </c>
      <c r="F36" s="6"/>
      <c r="G36" s="7" t="s">
        <v>65</v>
      </c>
      <c r="H36" s="4" t="s">
        <v>86</v>
      </c>
      <c r="I36" s="4" t="s">
        <v>22</v>
      </c>
      <c r="J36" s="8">
        <v>44472</v>
      </c>
      <c r="K36" s="8" t="s">
        <v>23</v>
      </c>
      <c r="L36" s="5" t="s">
        <v>29</v>
      </c>
      <c r="M36" s="5" t="s">
        <v>30</v>
      </c>
      <c r="N36" s="5">
        <v>6.5</v>
      </c>
      <c r="O36" s="9">
        <f>YEAR(Table2[[#This Row],[Date of Joining]])</f>
        <v>2020</v>
      </c>
      <c r="P36" s="9" t="str">
        <f t="shared" ca="1" si="0"/>
        <v>5+ years</v>
      </c>
    </row>
    <row r="37" spans="1:16" x14ac:dyDescent="0.3">
      <c r="A37" s="3" t="s">
        <v>16</v>
      </c>
      <c r="B37" s="3"/>
      <c r="C37" s="4">
        <v>192425</v>
      </c>
      <c r="D37" s="5" t="s">
        <v>99</v>
      </c>
      <c r="E37" s="6">
        <v>44036</v>
      </c>
      <c r="F37" s="6"/>
      <c r="G37" s="7" t="s">
        <v>20</v>
      </c>
      <c r="H37" s="4" t="s">
        <v>86</v>
      </c>
      <c r="I37" s="4" t="s">
        <v>22</v>
      </c>
      <c r="J37" s="8">
        <v>44338</v>
      </c>
      <c r="K37" s="8" t="s">
        <v>23</v>
      </c>
      <c r="L37" s="5" t="s">
        <v>29</v>
      </c>
      <c r="M37" s="5" t="s">
        <v>44</v>
      </c>
      <c r="N37" s="5">
        <v>8</v>
      </c>
      <c r="O37" s="9">
        <f>YEAR(Table2[[#This Row],[Date of Joining]])</f>
        <v>2020</v>
      </c>
      <c r="P37" s="9" t="str">
        <f t="shared" ca="1" si="0"/>
        <v>5+ years</v>
      </c>
    </row>
    <row r="38" spans="1:16" x14ac:dyDescent="0.3">
      <c r="A38" s="3" t="s">
        <v>16</v>
      </c>
      <c r="B38" s="3"/>
      <c r="C38" s="4">
        <v>174008</v>
      </c>
      <c r="D38" s="5" t="s">
        <v>100</v>
      </c>
      <c r="E38" s="6">
        <v>44043</v>
      </c>
      <c r="F38" s="6"/>
      <c r="G38" s="7" t="s">
        <v>57</v>
      </c>
      <c r="H38" s="4" t="s">
        <v>86</v>
      </c>
      <c r="I38" s="4" t="s">
        <v>39</v>
      </c>
      <c r="J38" s="8">
        <v>44540</v>
      </c>
      <c r="K38" s="8" t="s">
        <v>23</v>
      </c>
      <c r="L38" s="5" t="s">
        <v>29</v>
      </c>
      <c r="M38" s="5" t="s">
        <v>30</v>
      </c>
      <c r="N38" s="5">
        <v>12</v>
      </c>
      <c r="O38" s="9">
        <f>YEAR(Table2[[#This Row],[Date of Joining]])</f>
        <v>2020</v>
      </c>
      <c r="P38" s="9" t="str">
        <f t="shared" ca="1" si="0"/>
        <v>5+ years</v>
      </c>
    </row>
    <row r="39" spans="1:16" x14ac:dyDescent="0.3">
      <c r="A39" s="3" t="s">
        <v>25</v>
      </c>
      <c r="B39" s="3"/>
      <c r="C39" s="4">
        <v>129735</v>
      </c>
      <c r="D39" s="5" t="s">
        <v>38</v>
      </c>
      <c r="E39" s="6">
        <v>44057</v>
      </c>
      <c r="F39" s="6">
        <v>44741</v>
      </c>
      <c r="G39" s="7" t="s">
        <v>65</v>
      </c>
      <c r="H39" s="4" t="s">
        <v>86</v>
      </c>
      <c r="I39" s="4" t="s">
        <v>22</v>
      </c>
      <c r="J39" s="8">
        <v>44211</v>
      </c>
      <c r="K39" s="8" t="s">
        <v>23</v>
      </c>
      <c r="L39" s="5" t="s">
        <v>29</v>
      </c>
      <c r="M39" s="5" t="s">
        <v>24</v>
      </c>
      <c r="N39" s="5">
        <v>5</v>
      </c>
      <c r="O39" s="9">
        <f>YEAR(Table2[[#This Row],[Date of Joining]])</f>
        <v>2020</v>
      </c>
      <c r="P39" s="9" t="str">
        <f t="shared" ca="1" si="0"/>
        <v>5+ years</v>
      </c>
    </row>
    <row r="40" spans="1:16" x14ac:dyDescent="0.3">
      <c r="A40" s="3" t="s">
        <v>25</v>
      </c>
      <c r="B40" s="3"/>
      <c r="C40" s="4">
        <v>117328</v>
      </c>
      <c r="D40" s="5" t="s">
        <v>101</v>
      </c>
      <c r="E40" s="6">
        <v>44069</v>
      </c>
      <c r="F40" s="6">
        <v>44681</v>
      </c>
      <c r="G40" s="7" t="s">
        <v>65</v>
      </c>
      <c r="H40" s="4" t="s">
        <v>86</v>
      </c>
      <c r="I40" s="4" t="s">
        <v>22</v>
      </c>
      <c r="J40" s="8">
        <v>44236</v>
      </c>
      <c r="K40" s="8" t="s">
        <v>28</v>
      </c>
      <c r="L40" s="5" t="s">
        <v>29</v>
      </c>
      <c r="M40" s="5" t="s">
        <v>24</v>
      </c>
      <c r="N40" s="5">
        <v>4.8</v>
      </c>
      <c r="O40" s="9">
        <f>YEAR(Table2[[#This Row],[Date of Joining]])</f>
        <v>2020</v>
      </c>
      <c r="P40" s="9" t="str">
        <f t="shared" ca="1" si="0"/>
        <v>5+ years</v>
      </c>
    </row>
    <row r="41" spans="1:16" x14ac:dyDescent="0.3">
      <c r="A41" s="3" t="s">
        <v>16</v>
      </c>
      <c r="B41" s="3"/>
      <c r="C41" s="4">
        <v>110646</v>
      </c>
      <c r="D41" s="5" t="s">
        <v>102</v>
      </c>
      <c r="E41" s="6">
        <v>44075</v>
      </c>
      <c r="F41" s="6"/>
      <c r="G41" s="5" t="s">
        <v>52</v>
      </c>
      <c r="H41" s="4" t="s">
        <v>86</v>
      </c>
      <c r="I41" s="4" t="s">
        <v>22</v>
      </c>
      <c r="J41" s="8">
        <v>44216</v>
      </c>
      <c r="K41" s="8" t="s">
        <v>28</v>
      </c>
      <c r="L41" s="5" t="s">
        <v>29</v>
      </c>
      <c r="M41" s="5" t="s">
        <v>44</v>
      </c>
      <c r="N41" s="5">
        <v>9</v>
      </c>
      <c r="O41" s="9">
        <f>YEAR(Table2[[#This Row],[Date of Joining]])</f>
        <v>2020</v>
      </c>
      <c r="P41" s="9" t="str">
        <f t="shared" ca="1" si="0"/>
        <v>5+ years</v>
      </c>
    </row>
    <row r="42" spans="1:16" x14ac:dyDescent="0.3">
      <c r="A42" s="3" t="s">
        <v>16</v>
      </c>
      <c r="B42" s="3"/>
      <c r="C42" s="4">
        <v>114446</v>
      </c>
      <c r="D42" s="5" t="s">
        <v>103</v>
      </c>
      <c r="E42" s="6">
        <v>44075</v>
      </c>
      <c r="F42" s="6"/>
      <c r="G42" s="5" t="s">
        <v>80</v>
      </c>
      <c r="H42" s="4" t="s">
        <v>86</v>
      </c>
      <c r="I42" s="4" t="s">
        <v>22</v>
      </c>
      <c r="J42" s="8">
        <v>44524</v>
      </c>
      <c r="K42" s="8" t="s">
        <v>28</v>
      </c>
      <c r="L42" s="5" t="s">
        <v>89</v>
      </c>
      <c r="M42" s="5" t="s">
        <v>44</v>
      </c>
      <c r="N42" s="5">
        <v>8</v>
      </c>
      <c r="O42" s="9">
        <f>YEAR(Table2[[#This Row],[Date of Joining]])</f>
        <v>2020</v>
      </c>
      <c r="P42" s="9" t="str">
        <f t="shared" ca="1" si="0"/>
        <v>5+ years</v>
      </c>
    </row>
    <row r="43" spans="1:16" x14ac:dyDescent="0.3">
      <c r="A43" s="3" t="s">
        <v>16</v>
      </c>
      <c r="B43" s="3"/>
      <c r="C43" s="4">
        <v>189125</v>
      </c>
      <c r="D43" s="5" t="s">
        <v>104</v>
      </c>
      <c r="E43" s="6">
        <v>44075</v>
      </c>
      <c r="F43" s="6"/>
      <c r="G43" s="7" t="s">
        <v>38</v>
      </c>
      <c r="H43" s="4" t="s">
        <v>86</v>
      </c>
      <c r="I43" s="4" t="s">
        <v>22</v>
      </c>
      <c r="J43" s="8">
        <v>44504</v>
      </c>
      <c r="K43" s="8" t="s">
        <v>28</v>
      </c>
      <c r="L43" s="5" t="s">
        <v>89</v>
      </c>
      <c r="M43" s="5" t="s">
        <v>24</v>
      </c>
      <c r="N43" s="5">
        <v>17</v>
      </c>
      <c r="O43" s="9">
        <f>YEAR(Table2[[#This Row],[Date of Joining]])</f>
        <v>2020</v>
      </c>
      <c r="P43" s="9" t="str">
        <f t="shared" ca="1" si="0"/>
        <v>5+ years</v>
      </c>
    </row>
    <row r="44" spans="1:16" x14ac:dyDescent="0.3">
      <c r="A44" s="3" t="s">
        <v>16</v>
      </c>
      <c r="B44" s="3" t="s">
        <v>17</v>
      </c>
      <c r="C44" s="4">
        <v>183930</v>
      </c>
      <c r="D44" s="5" t="s">
        <v>105</v>
      </c>
      <c r="E44" s="6">
        <v>44075</v>
      </c>
      <c r="F44" s="6"/>
      <c r="G44" s="7" t="s">
        <v>38</v>
      </c>
      <c r="H44" s="4" t="s">
        <v>86</v>
      </c>
      <c r="I44" s="4" t="s">
        <v>22</v>
      </c>
      <c r="J44" s="8">
        <v>44309</v>
      </c>
      <c r="K44" s="8" t="s">
        <v>28</v>
      </c>
      <c r="L44" s="5" t="s">
        <v>89</v>
      </c>
      <c r="M44" s="5" t="s">
        <v>30</v>
      </c>
      <c r="N44" s="5">
        <v>13</v>
      </c>
      <c r="O44" s="9">
        <f>YEAR(Table2[[#This Row],[Date of Joining]])</f>
        <v>2020</v>
      </c>
      <c r="P44" s="9" t="str">
        <f t="shared" ca="1" si="0"/>
        <v>5+ years</v>
      </c>
    </row>
    <row r="45" spans="1:16" x14ac:dyDescent="0.3">
      <c r="A45" s="3" t="s">
        <v>16</v>
      </c>
      <c r="B45" s="3"/>
      <c r="C45" s="4">
        <v>110730</v>
      </c>
      <c r="D45" s="5" t="s">
        <v>43</v>
      </c>
      <c r="E45" s="6">
        <v>44075</v>
      </c>
      <c r="F45" s="6"/>
      <c r="G45" s="5" t="s">
        <v>43</v>
      </c>
      <c r="H45" s="4" t="s">
        <v>86</v>
      </c>
      <c r="I45" s="4" t="s">
        <v>22</v>
      </c>
      <c r="J45" s="8">
        <v>44307</v>
      </c>
      <c r="K45" s="8" t="s">
        <v>23</v>
      </c>
      <c r="L45" s="5" t="s">
        <v>89</v>
      </c>
      <c r="M45" s="5" t="s">
        <v>44</v>
      </c>
      <c r="N45" s="5">
        <v>13</v>
      </c>
      <c r="O45" s="9">
        <f>YEAR(Table2[[#This Row],[Date of Joining]])</f>
        <v>2020</v>
      </c>
      <c r="P45" s="9" t="str">
        <f t="shared" ca="1" si="0"/>
        <v>5+ years</v>
      </c>
    </row>
    <row r="46" spans="1:16" x14ac:dyDescent="0.3">
      <c r="A46" s="3" t="s">
        <v>16</v>
      </c>
      <c r="B46" s="3"/>
      <c r="C46" s="4">
        <v>131079</v>
      </c>
      <c r="D46" s="5" t="s">
        <v>106</v>
      </c>
      <c r="E46" s="6">
        <v>44075</v>
      </c>
      <c r="F46" s="6"/>
      <c r="G46" s="7" t="s">
        <v>20</v>
      </c>
      <c r="H46" s="4" t="s">
        <v>86</v>
      </c>
      <c r="I46" s="4" t="s">
        <v>22</v>
      </c>
      <c r="J46" s="8">
        <v>44561</v>
      </c>
      <c r="K46" s="8" t="s">
        <v>23</v>
      </c>
      <c r="L46" s="5" t="s">
        <v>89</v>
      </c>
      <c r="M46" s="5" t="s">
        <v>24</v>
      </c>
      <c r="N46" s="5">
        <v>13</v>
      </c>
      <c r="O46" s="9">
        <f>YEAR(Table2[[#This Row],[Date of Joining]])</f>
        <v>2020</v>
      </c>
      <c r="P46" s="9" t="str">
        <f t="shared" ca="1" si="0"/>
        <v>5+ years</v>
      </c>
    </row>
    <row r="47" spans="1:16" x14ac:dyDescent="0.3">
      <c r="A47" s="3" t="s">
        <v>16</v>
      </c>
      <c r="B47" s="3"/>
      <c r="C47" s="4">
        <v>180612</v>
      </c>
      <c r="D47" s="5" t="s">
        <v>107</v>
      </c>
      <c r="E47" s="6">
        <v>44075</v>
      </c>
      <c r="F47" s="6"/>
      <c r="G47" s="7" t="s">
        <v>57</v>
      </c>
      <c r="H47" s="4" t="s">
        <v>86</v>
      </c>
      <c r="I47" s="4" t="s">
        <v>39</v>
      </c>
      <c r="J47" s="8">
        <v>44343</v>
      </c>
      <c r="K47" s="8" t="s">
        <v>23</v>
      </c>
      <c r="L47" s="5" t="s">
        <v>97</v>
      </c>
      <c r="M47" s="5" t="s">
        <v>30</v>
      </c>
      <c r="N47" s="5">
        <v>0</v>
      </c>
      <c r="O47" s="9">
        <f>YEAR(Table2[[#This Row],[Date of Joining]])</f>
        <v>2020</v>
      </c>
      <c r="P47" s="9" t="str">
        <f t="shared" ca="1" si="0"/>
        <v>5+ years</v>
      </c>
    </row>
    <row r="48" spans="1:16" x14ac:dyDescent="0.3">
      <c r="A48" s="3" t="s">
        <v>25</v>
      </c>
      <c r="B48" s="3"/>
      <c r="C48" s="4">
        <v>154702</v>
      </c>
      <c r="D48" s="5" t="s">
        <v>108</v>
      </c>
      <c r="E48" s="6">
        <v>44083</v>
      </c>
      <c r="F48" s="6">
        <v>45311</v>
      </c>
      <c r="G48" s="7" t="s">
        <v>65</v>
      </c>
      <c r="H48" s="4" t="s">
        <v>86</v>
      </c>
      <c r="I48" s="4" t="s">
        <v>39</v>
      </c>
      <c r="J48" s="8">
        <v>44507</v>
      </c>
      <c r="K48" s="8" t="s">
        <v>28</v>
      </c>
      <c r="L48" s="5" t="s">
        <v>97</v>
      </c>
      <c r="M48" s="5" t="s">
        <v>24</v>
      </c>
      <c r="N48" s="5">
        <v>0</v>
      </c>
      <c r="O48" s="9">
        <f>YEAR(Table2[[#This Row],[Date of Joining]])</f>
        <v>2020</v>
      </c>
      <c r="P48" s="9" t="str">
        <f t="shared" ca="1" si="0"/>
        <v>5+ years</v>
      </c>
    </row>
    <row r="49" spans="1:16" x14ac:dyDescent="0.3">
      <c r="A49" s="3" t="s">
        <v>16</v>
      </c>
      <c r="B49" s="3"/>
      <c r="C49" s="4">
        <v>101286</v>
      </c>
      <c r="D49" s="5" t="s">
        <v>109</v>
      </c>
      <c r="E49" s="6">
        <v>44083</v>
      </c>
      <c r="F49" s="6"/>
      <c r="G49" s="7" t="s">
        <v>65</v>
      </c>
      <c r="H49" s="4" t="s">
        <v>86</v>
      </c>
      <c r="I49" s="4" t="s">
        <v>22</v>
      </c>
      <c r="J49" s="8">
        <v>44269</v>
      </c>
      <c r="K49" s="8" t="s">
        <v>23</v>
      </c>
      <c r="L49" s="5" t="s">
        <v>89</v>
      </c>
      <c r="M49" s="5" t="s">
        <v>35</v>
      </c>
      <c r="N49" s="5">
        <v>14</v>
      </c>
      <c r="O49" s="9">
        <f>YEAR(Table2[[#This Row],[Date of Joining]])</f>
        <v>2020</v>
      </c>
      <c r="P49" s="9" t="str">
        <f t="shared" ca="1" si="0"/>
        <v>5+ years</v>
      </c>
    </row>
    <row r="50" spans="1:16" x14ac:dyDescent="0.3">
      <c r="A50" s="3" t="s">
        <v>25</v>
      </c>
      <c r="B50" s="3"/>
      <c r="C50" s="4">
        <v>137383</v>
      </c>
      <c r="D50" s="5" t="s">
        <v>20</v>
      </c>
      <c r="E50" s="6">
        <v>44090</v>
      </c>
      <c r="F50" s="6">
        <v>44258</v>
      </c>
      <c r="G50" s="5" t="s">
        <v>52</v>
      </c>
      <c r="H50" s="4" t="s">
        <v>86</v>
      </c>
      <c r="I50" s="4" t="s">
        <v>22</v>
      </c>
      <c r="J50" s="8">
        <v>44220</v>
      </c>
      <c r="K50" s="8" t="s">
        <v>23</v>
      </c>
      <c r="L50" s="5" t="s">
        <v>89</v>
      </c>
      <c r="M50" s="5" t="s">
        <v>24</v>
      </c>
      <c r="N50" s="5">
        <v>9</v>
      </c>
      <c r="O50" s="9">
        <f>YEAR(Table2[[#This Row],[Date of Joining]])</f>
        <v>2020</v>
      </c>
      <c r="P50" s="9" t="str">
        <f t="shared" ca="1" si="0"/>
        <v>5+ years</v>
      </c>
    </row>
    <row r="51" spans="1:16" x14ac:dyDescent="0.3">
      <c r="A51" s="3" t="s">
        <v>25</v>
      </c>
      <c r="B51" s="3"/>
      <c r="C51" s="4">
        <v>185704</v>
      </c>
      <c r="D51" s="5" t="s">
        <v>65</v>
      </c>
      <c r="E51" s="6">
        <v>44090</v>
      </c>
      <c r="F51" s="6">
        <v>44395</v>
      </c>
      <c r="G51" s="7" t="s">
        <v>57</v>
      </c>
      <c r="H51" s="4" t="s">
        <v>86</v>
      </c>
      <c r="I51" s="4" t="s">
        <v>22</v>
      </c>
      <c r="J51" s="8">
        <v>44536</v>
      </c>
      <c r="K51" s="8" t="s">
        <v>23</v>
      </c>
      <c r="L51" s="5" t="s">
        <v>97</v>
      </c>
      <c r="M51" s="5" t="s">
        <v>49</v>
      </c>
      <c r="N51" s="5">
        <v>0</v>
      </c>
      <c r="O51" s="9">
        <f>YEAR(Table2[[#This Row],[Date of Joining]])</f>
        <v>2020</v>
      </c>
      <c r="P51" s="9" t="str">
        <f t="shared" ca="1" si="0"/>
        <v>5+ years</v>
      </c>
    </row>
    <row r="52" spans="1:16" x14ac:dyDescent="0.3">
      <c r="A52" s="3" t="s">
        <v>25</v>
      </c>
      <c r="B52" s="3"/>
      <c r="C52" s="4">
        <v>151727</v>
      </c>
      <c r="D52" s="5" t="s">
        <v>110</v>
      </c>
      <c r="E52" s="6">
        <v>44090</v>
      </c>
      <c r="F52" s="6">
        <v>45106</v>
      </c>
      <c r="G52" s="7" t="s">
        <v>57</v>
      </c>
      <c r="H52" s="4" t="s">
        <v>86</v>
      </c>
      <c r="I52" s="4" t="s">
        <v>22</v>
      </c>
      <c r="J52" s="8">
        <v>44230</v>
      </c>
      <c r="K52" s="8" t="s">
        <v>23</v>
      </c>
      <c r="L52" s="5" t="s">
        <v>97</v>
      </c>
      <c r="M52" s="5" t="s">
        <v>49</v>
      </c>
      <c r="N52" s="5">
        <v>0</v>
      </c>
      <c r="O52" s="9">
        <f>YEAR(Table2[[#This Row],[Date of Joining]])</f>
        <v>2020</v>
      </c>
      <c r="P52" s="9" t="str">
        <f t="shared" ca="1" si="0"/>
        <v>5+ years</v>
      </c>
    </row>
    <row r="53" spans="1:16" x14ac:dyDescent="0.3">
      <c r="A53" s="3" t="s">
        <v>25</v>
      </c>
      <c r="B53" s="3"/>
      <c r="C53" s="4">
        <v>135167</v>
      </c>
      <c r="D53" s="5" t="s">
        <v>111</v>
      </c>
      <c r="E53" s="6">
        <v>44090</v>
      </c>
      <c r="F53" s="6">
        <v>45195</v>
      </c>
      <c r="G53" s="7" t="s">
        <v>57</v>
      </c>
      <c r="H53" s="4" t="s">
        <v>86</v>
      </c>
      <c r="I53" s="4" t="s">
        <v>22</v>
      </c>
      <c r="J53" s="8">
        <v>44283</v>
      </c>
      <c r="K53" s="8" t="s">
        <v>23</v>
      </c>
      <c r="L53" s="5" t="s">
        <v>97</v>
      </c>
      <c r="M53" s="5" t="s">
        <v>49</v>
      </c>
      <c r="N53" s="5">
        <v>0</v>
      </c>
      <c r="O53" s="9">
        <f>YEAR(Table2[[#This Row],[Date of Joining]])</f>
        <v>2020</v>
      </c>
      <c r="P53" s="9" t="str">
        <f t="shared" ca="1" si="0"/>
        <v>5+ years</v>
      </c>
    </row>
    <row r="54" spans="1:16" x14ac:dyDescent="0.3">
      <c r="A54" s="3" t="s">
        <v>25</v>
      </c>
      <c r="B54" s="3"/>
      <c r="C54" s="4">
        <v>100971</v>
      </c>
      <c r="D54" s="5" t="s">
        <v>112</v>
      </c>
      <c r="E54" s="6">
        <v>44090</v>
      </c>
      <c r="F54" s="6">
        <v>45283</v>
      </c>
      <c r="G54" s="7" t="s">
        <v>57</v>
      </c>
      <c r="H54" s="4" t="s">
        <v>86</v>
      </c>
      <c r="I54" s="4" t="s">
        <v>22</v>
      </c>
      <c r="J54" s="8">
        <v>44447</v>
      </c>
      <c r="K54" s="8" t="s">
        <v>23</v>
      </c>
      <c r="L54" s="5" t="s">
        <v>97</v>
      </c>
      <c r="M54" s="5" t="s">
        <v>49</v>
      </c>
      <c r="N54" s="5">
        <v>0</v>
      </c>
      <c r="O54" s="9">
        <f>YEAR(Table2[[#This Row],[Date of Joining]])</f>
        <v>2020</v>
      </c>
      <c r="P54" s="9" t="str">
        <f t="shared" ca="1" si="0"/>
        <v>5+ years</v>
      </c>
    </row>
    <row r="55" spans="1:16" x14ac:dyDescent="0.3">
      <c r="A55" s="3" t="s">
        <v>25</v>
      </c>
      <c r="B55" s="3"/>
      <c r="C55" s="4">
        <v>145787</v>
      </c>
      <c r="D55" s="5" t="s">
        <v>113</v>
      </c>
      <c r="E55" s="6">
        <v>44090</v>
      </c>
      <c r="F55" s="6">
        <v>45318</v>
      </c>
      <c r="G55" s="7" t="s">
        <v>57</v>
      </c>
      <c r="H55" s="4" t="s">
        <v>86</v>
      </c>
      <c r="I55" s="4" t="s">
        <v>39</v>
      </c>
      <c r="J55" s="8">
        <v>44483</v>
      </c>
      <c r="K55" s="8" t="s">
        <v>28</v>
      </c>
      <c r="L55" s="5" t="s">
        <v>97</v>
      </c>
      <c r="M55" s="5" t="s">
        <v>49</v>
      </c>
      <c r="N55" s="5">
        <v>0</v>
      </c>
      <c r="O55" s="9">
        <f>YEAR(Table2[[#This Row],[Date of Joining]])</f>
        <v>2020</v>
      </c>
      <c r="P55" s="9" t="str">
        <f t="shared" ca="1" si="0"/>
        <v>5+ years</v>
      </c>
    </row>
    <row r="56" spans="1:16" x14ac:dyDescent="0.3">
      <c r="A56" s="3" t="s">
        <v>25</v>
      </c>
      <c r="B56" s="3"/>
      <c r="C56" s="4">
        <v>170924</v>
      </c>
      <c r="D56" s="5" t="s">
        <v>114</v>
      </c>
      <c r="E56" s="6">
        <v>44090</v>
      </c>
      <c r="F56" s="6">
        <v>45368</v>
      </c>
      <c r="G56" s="5" t="s">
        <v>80</v>
      </c>
      <c r="H56" s="4" t="s">
        <v>86</v>
      </c>
      <c r="I56" s="4" t="s">
        <v>22</v>
      </c>
      <c r="J56" s="8">
        <v>44470</v>
      </c>
      <c r="K56" s="8" t="s">
        <v>23</v>
      </c>
      <c r="L56" s="5" t="s">
        <v>97</v>
      </c>
      <c r="M56" s="5" t="s">
        <v>49</v>
      </c>
      <c r="N56" s="5">
        <v>0</v>
      </c>
      <c r="O56" s="9">
        <f>YEAR(Table2[[#This Row],[Date of Joining]])</f>
        <v>2020</v>
      </c>
      <c r="P56" s="9" t="str">
        <f t="shared" ca="1" si="0"/>
        <v>5+ years</v>
      </c>
    </row>
    <row r="57" spans="1:16" x14ac:dyDescent="0.3">
      <c r="A57" s="3" t="s">
        <v>25</v>
      </c>
      <c r="B57" s="3"/>
      <c r="C57" s="4">
        <v>129573</v>
      </c>
      <c r="D57" s="5" t="s">
        <v>115</v>
      </c>
      <c r="E57" s="6">
        <v>44090</v>
      </c>
      <c r="F57" s="6">
        <v>45564</v>
      </c>
      <c r="G57" s="7" t="s">
        <v>38</v>
      </c>
      <c r="H57" s="4" t="s">
        <v>86</v>
      </c>
      <c r="I57" s="4" t="s">
        <v>39</v>
      </c>
      <c r="J57" s="8">
        <v>44455</v>
      </c>
      <c r="K57" s="8" t="s">
        <v>23</v>
      </c>
      <c r="L57" s="5" t="s">
        <v>29</v>
      </c>
      <c r="M57" s="5" t="s">
        <v>49</v>
      </c>
      <c r="N57" s="5">
        <v>0</v>
      </c>
      <c r="O57" s="9">
        <f>YEAR(Table2[[#This Row],[Date of Joining]])</f>
        <v>2020</v>
      </c>
      <c r="P57" s="9" t="str">
        <f t="shared" ca="1" si="0"/>
        <v>5+ years</v>
      </c>
    </row>
    <row r="58" spans="1:16" x14ac:dyDescent="0.3">
      <c r="A58" s="3" t="s">
        <v>16</v>
      </c>
      <c r="B58" s="3"/>
      <c r="C58" s="4">
        <v>115742</v>
      </c>
      <c r="D58" s="5" t="s">
        <v>116</v>
      </c>
      <c r="E58" s="6">
        <v>44090</v>
      </c>
      <c r="F58" s="6"/>
      <c r="G58" s="7" t="s">
        <v>38</v>
      </c>
      <c r="H58" s="4" t="s">
        <v>86</v>
      </c>
      <c r="I58" s="4" t="s">
        <v>39</v>
      </c>
      <c r="J58" s="8">
        <v>44462</v>
      </c>
      <c r="K58" s="8" t="s">
        <v>23</v>
      </c>
      <c r="L58" s="5" t="s">
        <v>29</v>
      </c>
      <c r="M58" s="5" t="s">
        <v>49</v>
      </c>
      <c r="N58" s="5">
        <v>0</v>
      </c>
      <c r="O58" s="9">
        <f>YEAR(Table2[[#This Row],[Date of Joining]])</f>
        <v>2020</v>
      </c>
      <c r="P58" s="9" t="str">
        <f t="shared" ca="1" si="0"/>
        <v>5+ years</v>
      </c>
    </row>
    <row r="59" spans="1:16" x14ac:dyDescent="0.3">
      <c r="A59" s="3" t="s">
        <v>16</v>
      </c>
      <c r="B59" s="3"/>
      <c r="C59" s="4">
        <v>126064</v>
      </c>
      <c r="D59" s="5" t="s">
        <v>117</v>
      </c>
      <c r="E59" s="6">
        <v>44090</v>
      </c>
      <c r="F59" s="6"/>
      <c r="G59" s="7" t="s">
        <v>38</v>
      </c>
      <c r="H59" s="4" t="s">
        <v>86</v>
      </c>
      <c r="I59" s="4" t="s">
        <v>39</v>
      </c>
      <c r="J59" s="8">
        <v>44346</v>
      </c>
      <c r="K59" s="8" t="s">
        <v>23</v>
      </c>
      <c r="L59" s="5" t="s">
        <v>29</v>
      </c>
      <c r="M59" s="5" t="s">
        <v>49</v>
      </c>
      <c r="N59" s="5">
        <v>0</v>
      </c>
      <c r="O59" s="9">
        <f>YEAR(Table2[[#This Row],[Date of Joining]])</f>
        <v>2020</v>
      </c>
      <c r="P59" s="9" t="str">
        <f t="shared" ca="1" si="0"/>
        <v>5+ years</v>
      </c>
    </row>
    <row r="60" spans="1:16" x14ac:dyDescent="0.3">
      <c r="A60" s="3" t="s">
        <v>16</v>
      </c>
      <c r="B60" s="3"/>
      <c r="C60" s="4">
        <v>173140</v>
      </c>
      <c r="D60" s="5" t="s">
        <v>118</v>
      </c>
      <c r="E60" s="6">
        <v>44090</v>
      </c>
      <c r="F60" s="6"/>
      <c r="G60" s="5" t="s">
        <v>80</v>
      </c>
      <c r="H60" s="4" t="s">
        <v>86</v>
      </c>
      <c r="I60" s="4" t="s">
        <v>22</v>
      </c>
      <c r="J60" s="8">
        <v>44390</v>
      </c>
      <c r="K60" s="8" t="s">
        <v>23</v>
      </c>
      <c r="L60" s="5" t="s">
        <v>29</v>
      </c>
      <c r="M60" s="5" t="s">
        <v>49</v>
      </c>
      <c r="N60" s="5">
        <v>0</v>
      </c>
      <c r="O60" s="9">
        <f>YEAR(Table2[[#This Row],[Date of Joining]])</f>
        <v>2020</v>
      </c>
      <c r="P60" s="9" t="str">
        <f t="shared" ca="1" si="0"/>
        <v>5+ years</v>
      </c>
    </row>
    <row r="61" spans="1:16" x14ac:dyDescent="0.3">
      <c r="A61" s="3" t="s">
        <v>25</v>
      </c>
      <c r="B61" s="3"/>
      <c r="C61" s="4">
        <v>181592</v>
      </c>
      <c r="D61" s="5" t="s">
        <v>119</v>
      </c>
      <c r="E61" s="6">
        <v>44120</v>
      </c>
      <c r="F61" s="6">
        <v>45325</v>
      </c>
      <c r="G61" s="5" t="s">
        <v>80</v>
      </c>
      <c r="H61" s="4" t="s">
        <v>86</v>
      </c>
      <c r="I61" s="4" t="s">
        <v>22</v>
      </c>
      <c r="J61" s="8">
        <v>44220</v>
      </c>
      <c r="K61" s="8" t="s">
        <v>28</v>
      </c>
      <c r="L61" s="5" t="s">
        <v>89</v>
      </c>
      <c r="M61" s="5" t="s">
        <v>49</v>
      </c>
      <c r="N61" s="5">
        <v>12</v>
      </c>
      <c r="O61" s="9">
        <f>YEAR(Table2[[#This Row],[Date of Joining]])</f>
        <v>2020</v>
      </c>
      <c r="P61" s="9" t="str">
        <f t="shared" ca="1" si="0"/>
        <v>5+ years</v>
      </c>
    </row>
    <row r="62" spans="1:16" x14ac:dyDescent="0.3">
      <c r="A62" s="3" t="s">
        <v>25</v>
      </c>
      <c r="B62" s="3"/>
      <c r="C62" s="4">
        <v>144158</v>
      </c>
      <c r="D62" s="5" t="s">
        <v>120</v>
      </c>
      <c r="E62" s="6">
        <v>44163</v>
      </c>
      <c r="F62" s="6">
        <v>45016</v>
      </c>
      <c r="G62" s="7" t="s">
        <v>20</v>
      </c>
      <c r="H62" s="4" t="s">
        <v>86</v>
      </c>
      <c r="I62" s="4" t="s">
        <v>22</v>
      </c>
      <c r="J62" s="8">
        <v>44296</v>
      </c>
      <c r="K62" s="8" t="s">
        <v>28</v>
      </c>
      <c r="L62" s="5" t="s">
        <v>29</v>
      </c>
      <c r="M62" s="5" t="s">
        <v>30</v>
      </c>
      <c r="N62" s="5">
        <v>6</v>
      </c>
      <c r="O62" s="9">
        <f>YEAR(Table2[[#This Row],[Date of Joining]])</f>
        <v>2020</v>
      </c>
      <c r="P62" s="9" t="str">
        <f t="shared" ca="1" si="0"/>
        <v>5+ years</v>
      </c>
    </row>
    <row r="63" spans="1:16" x14ac:dyDescent="0.3">
      <c r="A63" s="3" t="s">
        <v>16</v>
      </c>
      <c r="B63" s="3"/>
      <c r="C63" s="4">
        <v>178955</v>
      </c>
      <c r="D63" s="5" t="s">
        <v>121</v>
      </c>
      <c r="E63" s="6">
        <v>44167</v>
      </c>
      <c r="F63" s="6"/>
      <c r="G63" s="5" t="s">
        <v>80</v>
      </c>
      <c r="H63" s="4" t="s">
        <v>86</v>
      </c>
      <c r="I63" s="4" t="s">
        <v>22</v>
      </c>
      <c r="J63" s="8">
        <v>44273</v>
      </c>
      <c r="K63" s="8" t="s">
        <v>23</v>
      </c>
      <c r="L63" s="5" t="s">
        <v>29</v>
      </c>
      <c r="M63" s="5" t="s">
        <v>30</v>
      </c>
      <c r="N63" s="5">
        <v>8</v>
      </c>
      <c r="O63" s="9">
        <f>YEAR(Table2[[#This Row],[Date of Joining]])</f>
        <v>2020</v>
      </c>
      <c r="P63" s="9" t="str">
        <f t="shared" ca="1" si="0"/>
        <v>5+ years</v>
      </c>
    </row>
    <row r="64" spans="1:16" x14ac:dyDescent="0.3">
      <c r="A64" s="3" t="s">
        <v>25</v>
      </c>
      <c r="B64" s="3"/>
      <c r="C64" s="4">
        <v>110616</v>
      </c>
      <c r="D64" s="5" t="s">
        <v>122</v>
      </c>
      <c r="E64" s="6">
        <v>44186</v>
      </c>
      <c r="F64" s="6">
        <v>44651</v>
      </c>
      <c r="G64" s="7" t="s">
        <v>20</v>
      </c>
      <c r="H64" s="4" t="s">
        <v>86</v>
      </c>
      <c r="I64" s="4" t="s">
        <v>22</v>
      </c>
      <c r="J64" s="8">
        <v>44216</v>
      </c>
      <c r="K64" s="8" t="s">
        <v>28</v>
      </c>
      <c r="L64" s="5" t="s">
        <v>29</v>
      </c>
      <c r="M64" s="5" t="s">
        <v>44</v>
      </c>
      <c r="N64" s="5">
        <v>9</v>
      </c>
      <c r="O64" s="9">
        <f>YEAR(Table2[[#This Row],[Date of Joining]])</f>
        <v>2020</v>
      </c>
      <c r="P64" s="9" t="str">
        <f t="shared" ca="1" si="0"/>
        <v>5+ years</v>
      </c>
    </row>
    <row r="65" spans="1:16" x14ac:dyDescent="0.3">
      <c r="A65" s="3" t="s">
        <v>25</v>
      </c>
      <c r="B65" s="3"/>
      <c r="C65" s="4">
        <v>120981</v>
      </c>
      <c r="D65" s="5" t="s">
        <v>123</v>
      </c>
      <c r="E65" s="6">
        <v>44191</v>
      </c>
      <c r="F65" s="6">
        <v>45108</v>
      </c>
      <c r="G65" s="7" t="s">
        <v>20</v>
      </c>
      <c r="H65" s="4" t="s">
        <v>86</v>
      </c>
      <c r="I65" s="4" t="s">
        <v>39</v>
      </c>
      <c r="J65" s="8">
        <v>44399</v>
      </c>
      <c r="K65" s="8" t="s">
        <v>23</v>
      </c>
      <c r="L65" s="5" t="s">
        <v>97</v>
      </c>
      <c r="M65" s="5" t="s">
        <v>24</v>
      </c>
      <c r="N65" s="5">
        <v>0</v>
      </c>
      <c r="O65" s="9">
        <f>YEAR(Table2[[#This Row],[Date of Joining]])</f>
        <v>2020</v>
      </c>
      <c r="P65" s="9" t="str">
        <f t="shared" ca="1" si="0"/>
        <v>5+ years</v>
      </c>
    </row>
    <row r="66" spans="1:16" x14ac:dyDescent="0.3">
      <c r="A66" s="3" t="s">
        <v>25</v>
      </c>
      <c r="B66" s="3"/>
      <c r="C66" s="4">
        <v>140182</v>
      </c>
      <c r="D66" s="5" t="s">
        <v>124</v>
      </c>
      <c r="E66" s="6">
        <v>44218</v>
      </c>
      <c r="F66" s="6">
        <v>44635</v>
      </c>
      <c r="G66" s="7" t="s">
        <v>57</v>
      </c>
      <c r="H66" s="4" t="s">
        <v>86</v>
      </c>
      <c r="I66" s="4" t="s">
        <v>39</v>
      </c>
      <c r="J66" s="8">
        <v>44235</v>
      </c>
      <c r="K66" s="8" t="s">
        <v>23</v>
      </c>
      <c r="L66" s="5" t="s">
        <v>97</v>
      </c>
      <c r="M66" s="5" t="s">
        <v>24</v>
      </c>
      <c r="N66" s="5">
        <v>0</v>
      </c>
      <c r="O66" s="9">
        <f>YEAR(Table2[[#This Row],[Date of Joining]])</f>
        <v>2021</v>
      </c>
      <c r="P66" s="9" t="str">
        <f t="shared" ref="P66:P129" ca="1" si="1">IF(DATEDIF(E66,TODAY(),"Y")&gt;=5,"5+ years",
IF(DATEDIF(E66,TODAY(),"Y")&gt;=4,"4+ years",
IF(DATEDIF(E66,TODAY(),"Y")&gt;=3,"3+ years",
IF(DATEDIF(E66,TODAY(),"Y")&gt;=2,"2+ years",
IF(DATEDIF(E66,TODAY(),"Y")&gt;=1,"1+ years","&lt;1 year")))))</f>
        <v>5+ years</v>
      </c>
    </row>
    <row r="67" spans="1:16" x14ac:dyDescent="0.3">
      <c r="A67" s="3" t="s">
        <v>25</v>
      </c>
      <c r="B67" s="3"/>
      <c r="C67" s="4">
        <v>174057</v>
      </c>
      <c r="D67" s="5" t="s">
        <v>125</v>
      </c>
      <c r="E67" s="6">
        <v>44218</v>
      </c>
      <c r="F67" s="6">
        <v>44965</v>
      </c>
      <c r="G67" s="7" t="s">
        <v>57</v>
      </c>
      <c r="H67" s="4" t="s">
        <v>86</v>
      </c>
      <c r="I67" s="4" t="s">
        <v>22</v>
      </c>
      <c r="J67" s="8">
        <v>44511</v>
      </c>
      <c r="K67" s="8" t="s">
        <v>28</v>
      </c>
      <c r="L67" s="5" t="s">
        <v>29</v>
      </c>
      <c r="M67" s="5" t="s">
        <v>24</v>
      </c>
      <c r="N67" s="5">
        <v>6</v>
      </c>
      <c r="O67" s="9">
        <f>YEAR(Table2[[#This Row],[Date of Joining]])</f>
        <v>2021</v>
      </c>
      <c r="P67" s="9" t="str">
        <f t="shared" ca="1" si="1"/>
        <v>5+ years</v>
      </c>
    </row>
    <row r="68" spans="1:16" x14ac:dyDescent="0.3">
      <c r="A68" s="3" t="s">
        <v>25</v>
      </c>
      <c r="B68" s="3"/>
      <c r="C68" s="4">
        <v>124194</v>
      </c>
      <c r="D68" s="5" t="s">
        <v>126</v>
      </c>
      <c r="E68" s="6">
        <v>44225</v>
      </c>
      <c r="F68" s="6">
        <v>44630</v>
      </c>
      <c r="G68" s="7" t="s">
        <v>38</v>
      </c>
      <c r="H68" s="4" t="s">
        <v>86</v>
      </c>
      <c r="I68" s="4" t="s">
        <v>22</v>
      </c>
      <c r="J68" s="8">
        <v>44221</v>
      </c>
      <c r="K68" s="8" t="s">
        <v>28</v>
      </c>
      <c r="L68" s="5" t="s">
        <v>89</v>
      </c>
      <c r="M68" s="5" t="s">
        <v>30</v>
      </c>
      <c r="N68" s="5">
        <v>13</v>
      </c>
      <c r="O68" s="9">
        <f>YEAR(Table2[[#This Row],[Date of Joining]])</f>
        <v>2021</v>
      </c>
      <c r="P68" s="9" t="str">
        <f t="shared" ca="1" si="1"/>
        <v>5+ years</v>
      </c>
    </row>
    <row r="69" spans="1:16" x14ac:dyDescent="0.3">
      <c r="A69" s="3" t="s">
        <v>25</v>
      </c>
      <c r="B69" s="3"/>
      <c r="C69" s="4">
        <v>185420</v>
      </c>
      <c r="D69" s="5" t="s">
        <v>127</v>
      </c>
      <c r="E69" s="6">
        <v>44246</v>
      </c>
      <c r="F69" s="6">
        <v>45199</v>
      </c>
      <c r="G69" s="5" t="s">
        <v>43</v>
      </c>
      <c r="H69" s="4" t="s">
        <v>86</v>
      </c>
      <c r="I69" s="4" t="s">
        <v>22</v>
      </c>
      <c r="J69" s="8">
        <v>44371</v>
      </c>
      <c r="K69" s="8" t="s">
        <v>28</v>
      </c>
      <c r="L69" s="5" t="s">
        <v>29</v>
      </c>
      <c r="M69" s="5" t="s">
        <v>35</v>
      </c>
      <c r="N69" s="5">
        <v>5</v>
      </c>
      <c r="O69" s="9">
        <f>YEAR(Table2[[#This Row],[Date of Joining]])</f>
        <v>2021</v>
      </c>
      <c r="P69" s="9" t="str">
        <f t="shared" ca="1" si="1"/>
        <v>5+ years</v>
      </c>
    </row>
    <row r="70" spans="1:16" x14ac:dyDescent="0.3">
      <c r="A70" s="3" t="s">
        <v>25</v>
      </c>
      <c r="B70" s="3"/>
      <c r="C70" s="4">
        <v>184945</v>
      </c>
      <c r="D70" s="5" t="s">
        <v>128</v>
      </c>
      <c r="E70" s="6">
        <v>44251</v>
      </c>
      <c r="F70" s="6">
        <v>44748</v>
      </c>
      <c r="G70" s="7" t="s">
        <v>38</v>
      </c>
      <c r="H70" s="4" t="s">
        <v>86</v>
      </c>
      <c r="I70" s="4" t="s">
        <v>22</v>
      </c>
      <c r="J70" s="8">
        <v>44466</v>
      </c>
      <c r="K70" s="8" t="s">
        <v>28</v>
      </c>
      <c r="L70" s="5" t="s">
        <v>29</v>
      </c>
      <c r="M70" s="5" t="s">
        <v>30</v>
      </c>
      <c r="N70" s="5">
        <v>10</v>
      </c>
      <c r="O70" s="9">
        <f>YEAR(Table2[[#This Row],[Date of Joining]])</f>
        <v>2021</v>
      </c>
      <c r="P70" s="9" t="str">
        <f t="shared" ca="1" si="1"/>
        <v>5+ years</v>
      </c>
    </row>
    <row r="71" spans="1:16" x14ac:dyDescent="0.3">
      <c r="A71" s="3" t="s">
        <v>16</v>
      </c>
      <c r="B71" s="3"/>
      <c r="C71" s="4">
        <v>129852</v>
      </c>
      <c r="D71" s="5" t="s">
        <v>129</v>
      </c>
      <c r="E71" s="6">
        <v>44257</v>
      </c>
      <c r="F71" s="6"/>
      <c r="G71" s="7" t="s">
        <v>57</v>
      </c>
      <c r="H71" s="4" t="s">
        <v>86</v>
      </c>
      <c r="I71" s="4" t="s">
        <v>22</v>
      </c>
      <c r="J71" s="8">
        <v>44200</v>
      </c>
      <c r="K71" s="8" t="s">
        <v>23</v>
      </c>
      <c r="L71" s="5" t="s">
        <v>89</v>
      </c>
      <c r="M71" s="5" t="s">
        <v>24</v>
      </c>
      <c r="N71" s="5">
        <v>10</v>
      </c>
      <c r="O71" s="9">
        <f>YEAR(Table2[[#This Row],[Date of Joining]])</f>
        <v>2021</v>
      </c>
      <c r="P71" s="9" t="str">
        <f t="shared" ca="1" si="1"/>
        <v>5+ years</v>
      </c>
    </row>
    <row r="72" spans="1:16" x14ac:dyDescent="0.3">
      <c r="A72" s="3" t="s">
        <v>25</v>
      </c>
      <c r="B72" s="3"/>
      <c r="C72" s="4">
        <v>139272</v>
      </c>
      <c r="D72" s="5" t="s">
        <v>130</v>
      </c>
      <c r="E72" s="6">
        <v>44264</v>
      </c>
      <c r="F72" s="6">
        <v>45107</v>
      </c>
      <c r="G72" s="7" t="s">
        <v>20</v>
      </c>
      <c r="H72" s="4" t="s">
        <v>86</v>
      </c>
      <c r="I72" s="4" t="s">
        <v>39</v>
      </c>
      <c r="J72" s="8">
        <v>44363</v>
      </c>
      <c r="K72" s="8" t="s">
        <v>28</v>
      </c>
      <c r="L72" s="5" t="s">
        <v>29</v>
      </c>
      <c r="M72" s="5" t="s">
        <v>24</v>
      </c>
      <c r="N72" s="5">
        <v>8</v>
      </c>
      <c r="O72" s="9">
        <f>YEAR(Table2[[#This Row],[Date of Joining]])</f>
        <v>2021</v>
      </c>
      <c r="P72" s="9" t="str">
        <f t="shared" ca="1" si="1"/>
        <v>5+ years</v>
      </c>
    </row>
    <row r="73" spans="1:16" x14ac:dyDescent="0.3">
      <c r="A73" s="3" t="s">
        <v>16</v>
      </c>
      <c r="B73" s="3"/>
      <c r="C73" s="4">
        <v>194976</v>
      </c>
      <c r="D73" s="5" t="s">
        <v>131</v>
      </c>
      <c r="E73" s="6">
        <v>44271</v>
      </c>
      <c r="F73" s="6"/>
      <c r="G73" s="7" t="s">
        <v>57</v>
      </c>
      <c r="H73" s="4" t="s">
        <v>86</v>
      </c>
      <c r="I73" s="4" t="s">
        <v>39</v>
      </c>
      <c r="J73" s="8">
        <v>44200</v>
      </c>
      <c r="K73" s="8" t="s">
        <v>23</v>
      </c>
      <c r="L73" s="5" t="s">
        <v>29</v>
      </c>
      <c r="M73" s="5" t="s">
        <v>24</v>
      </c>
      <c r="N73" s="5">
        <v>3.5</v>
      </c>
      <c r="O73" s="9">
        <f>YEAR(Table2[[#This Row],[Date of Joining]])</f>
        <v>2021</v>
      </c>
      <c r="P73" s="9" t="str">
        <f t="shared" ca="1" si="1"/>
        <v>5+ years</v>
      </c>
    </row>
    <row r="74" spans="1:16" x14ac:dyDescent="0.3">
      <c r="A74" s="3" t="s">
        <v>16</v>
      </c>
      <c r="B74" s="3"/>
      <c r="C74" s="4">
        <v>132557</v>
      </c>
      <c r="D74" s="5" t="s">
        <v>132</v>
      </c>
      <c r="E74" s="6">
        <v>44343</v>
      </c>
      <c r="F74" s="6"/>
      <c r="G74" s="7" t="s">
        <v>38</v>
      </c>
      <c r="H74" s="4" t="s">
        <v>86</v>
      </c>
      <c r="I74" s="4" t="s">
        <v>39</v>
      </c>
      <c r="J74" s="8">
        <v>44429</v>
      </c>
      <c r="K74" s="8" t="s">
        <v>23</v>
      </c>
      <c r="L74" s="5" t="s">
        <v>29</v>
      </c>
      <c r="M74" s="5" t="s">
        <v>35</v>
      </c>
      <c r="N74" s="5">
        <v>7</v>
      </c>
      <c r="O74" s="9">
        <f>YEAR(Table2[[#This Row],[Date of Joining]])</f>
        <v>2021</v>
      </c>
      <c r="P74" s="9" t="str">
        <f t="shared" ca="1" si="1"/>
        <v>5+ years</v>
      </c>
    </row>
    <row r="75" spans="1:16" x14ac:dyDescent="0.3">
      <c r="A75" s="3" t="s">
        <v>25</v>
      </c>
      <c r="B75" s="3" t="s">
        <v>133</v>
      </c>
      <c r="C75" s="4">
        <v>187280</v>
      </c>
      <c r="D75" s="5" t="s">
        <v>134</v>
      </c>
      <c r="E75" s="6">
        <v>44418</v>
      </c>
      <c r="F75" s="6">
        <v>44611</v>
      </c>
      <c r="G75" s="7" t="s">
        <v>57</v>
      </c>
      <c r="H75" s="4" t="s">
        <v>86</v>
      </c>
      <c r="I75" s="4" t="s">
        <v>39</v>
      </c>
      <c r="J75" s="8">
        <v>44455</v>
      </c>
      <c r="K75" s="8" t="s">
        <v>23</v>
      </c>
      <c r="L75" s="5" t="s">
        <v>97</v>
      </c>
      <c r="M75" s="5" t="s">
        <v>24</v>
      </c>
      <c r="N75" s="5">
        <v>0</v>
      </c>
      <c r="O75" s="9">
        <f>YEAR(Table2[[#This Row],[Date of Joining]])</f>
        <v>2021</v>
      </c>
      <c r="P75" s="9" t="str">
        <f t="shared" ca="1" si="1"/>
        <v>4+ years</v>
      </c>
    </row>
    <row r="76" spans="1:16" x14ac:dyDescent="0.3">
      <c r="A76" s="3" t="s">
        <v>16</v>
      </c>
      <c r="B76" s="3" t="s">
        <v>133</v>
      </c>
      <c r="C76" s="4">
        <v>190396</v>
      </c>
      <c r="D76" s="5" t="s">
        <v>135</v>
      </c>
      <c r="E76" s="6">
        <v>44418</v>
      </c>
      <c r="F76" s="6"/>
      <c r="G76" s="7" t="s">
        <v>57</v>
      </c>
      <c r="H76" s="4" t="s">
        <v>86</v>
      </c>
      <c r="I76" s="4" t="s">
        <v>22</v>
      </c>
      <c r="J76" s="8">
        <v>44513</v>
      </c>
      <c r="K76" s="8" t="s">
        <v>23</v>
      </c>
      <c r="L76" s="5" t="s">
        <v>97</v>
      </c>
      <c r="M76" s="5" t="s">
        <v>24</v>
      </c>
      <c r="N76" s="5">
        <v>0</v>
      </c>
      <c r="O76" s="9">
        <f>YEAR(Table2[[#This Row],[Date of Joining]])</f>
        <v>2021</v>
      </c>
      <c r="P76" s="9" t="str">
        <f t="shared" ca="1" si="1"/>
        <v>4+ years</v>
      </c>
    </row>
    <row r="77" spans="1:16" x14ac:dyDescent="0.3">
      <c r="A77" s="3" t="s">
        <v>136</v>
      </c>
      <c r="B77" s="3"/>
      <c r="C77" s="4">
        <v>161242</v>
      </c>
      <c r="D77" s="5" t="s">
        <v>137</v>
      </c>
      <c r="E77" s="6">
        <v>44420</v>
      </c>
      <c r="F77" s="6"/>
      <c r="G77" s="5" t="s">
        <v>52</v>
      </c>
      <c r="H77" s="4" t="s">
        <v>86</v>
      </c>
      <c r="I77" s="4" t="s">
        <v>22</v>
      </c>
      <c r="J77" s="8">
        <v>44556</v>
      </c>
      <c r="K77" s="8" t="s">
        <v>28</v>
      </c>
      <c r="L77" s="5" t="s">
        <v>29</v>
      </c>
      <c r="M77" s="5" t="s">
        <v>24</v>
      </c>
      <c r="N77" s="5">
        <v>10</v>
      </c>
      <c r="O77" s="9">
        <f>YEAR(Table2[[#This Row],[Date of Joining]])</f>
        <v>2021</v>
      </c>
      <c r="P77" s="9" t="str">
        <f t="shared" ca="1" si="1"/>
        <v>4+ years</v>
      </c>
    </row>
    <row r="78" spans="1:16" x14ac:dyDescent="0.3">
      <c r="A78" s="3" t="s">
        <v>25</v>
      </c>
      <c r="B78" s="3"/>
      <c r="C78" s="4">
        <v>156965</v>
      </c>
      <c r="D78" s="5" t="s">
        <v>138</v>
      </c>
      <c r="E78" s="6">
        <v>44425</v>
      </c>
      <c r="F78" s="6">
        <v>44636</v>
      </c>
      <c r="G78" s="7" t="s">
        <v>57</v>
      </c>
      <c r="H78" s="4" t="s">
        <v>86</v>
      </c>
      <c r="I78" s="4" t="s">
        <v>39</v>
      </c>
      <c r="J78" s="8">
        <v>44247</v>
      </c>
      <c r="K78" s="8" t="s">
        <v>28</v>
      </c>
      <c r="L78" s="5" t="s">
        <v>29</v>
      </c>
      <c r="M78" s="5" t="s">
        <v>24</v>
      </c>
      <c r="N78" s="5">
        <v>11</v>
      </c>
      <c r="O78" s="9">
        <f>YEAR(Table2[[#This Row],[Date of Joining]])</f>
        <v>2021</v>
      </c>
      <c r="P78" s="9" t="str">
        <f t="shared" ca="1" si="1"/>
        <v>4+ years</v>
      </c>
    </row>
    <row r="79" spans="1:16" x14ac:dyDescent="0.3">
      <c r="A79" s="3" t="s">
        <v>25</v>
      </c>
      <c r="B79" s="3"/>
      <c r="C79" s="4">
        <v>192455</v>
      </c>
      <c r="D79" s="5" t="s">
        <v>139</v>
      </c>
      <c r="E79" s="6">
        <v>44440</v>
      </c>
      <c r="F79" s="6">
        <v>44233</v>
      </c>
      <c r="G79" s="7" t="s">
        <v>20</v>
      </c>
      <c r="H79" s="4" t="s">
        <v>86</v>
      </c>
      <c r="I79" s="4" t="s">
        <v>22</v>
      </c>
      <c r="J79" s="8">
        <v>44338</v>
      </c>
      <c r="K79" s="8" t="s">
        <v>28</v>
      </c>
      <c r="L79" s="5" t="s">
        <v>29</v>
      </c>
      <c r="M79" s="5" t="s">
        <v>44</v>
      </c>
      <c r="N79" s="5">
        <v>8</v>
      </c>
      <c r="O79" s="9">
        <f>YEAR(Table2[[#This Row],[Date of Joining]])</f>
        <v>2021</v>
      </c>
      <c r="P79" s="9" t="str">
        <f t="shared" ca="1" si="1"/>
        <v>4+ years</v>
      </c>
    </row>
    <row r="80" spans="1:16" x14ac:dyDescent="0.3">
      <c r="A80" s="3" t="s">
        <v>25</v>
      </c>
      <c r="B80" s="3"/>
      <c r="C80" s="4">
        <v>174038</v>
      </c>
      <c r="D80" s="5" t="s">
        <v>140</v>
      </c>
      <c r="E80" s="6">
        <v>44440</v>
      </c>
      <c r="F80" s="6">
        <v>44282</v>
      </c>
      <c r="G80" s="7" t="s">
        <v>57</v>
      </c>
      <c r="H80" s="4" t="s">
        <v>86</v>
      </c>
      <c r="I80" s="4" t="s">
        <v>39</v>
      </c>
      <c r="J80" s="8">
        <v>44540</v>
      </c>
      <c r="K80" s="8" t="s">
        <v>28</v>
      </c>
      <c r="L80" s="5" t="s">
        <v>29</v>
      </c>
      <c r="M80" s="5" t="s">
        <v>30</v>
      </c>
      <c r="N80" s="5">
        <v>12</v>
      </c>
      <c r="O80" s="9">
        <f>YEAR(Table2[[#This Row],[Date of Joining]])</f>
        <v>2021</v>
      </c>
      <c r="P80" s="9" t="str">
        <f t="shared" ca="1" si="1"/>
        <v>4+ years</v>
      </c>
    </row>
    <row r="81" spans="1:16" x14ac:dyDescent="0.3">
      <c r="A81" s="3" t="s">
        <v>16</v>
      </c>
      <c r="B81" s="3"/>
      <c r="C81" s="4">
        <v>129765</v>
      </c>
      <c r="D81" s="5" t="s">
        <v>141</v>
      </c>
      <c r="E81" s="6">
        <v>44440</v>
      </c>
      <c r="F81" s="6"/>
      <c r="G81" s="7" t="s">
        <v>20</v>
      </c>
      <c r="H81" s="4" t="s">
        <v>86</v>
      </c>
      <c r="I81" s="4" t="s">
        <v>22</v>
      </c>
      <c r="J81" s="8">
        <v>44211</v>
      </c>
      <c r="K81" s="8" t="s">
        <v>23</v>
      </c>
      <c r="L81" s="5" t="s">
        <v>29</v>
      </c>
      <c r="M81" s="5" t="s">
        <v>24</v>
      </c>
      <c r="N81" s="5">
        <v>5</v>
      </c>
      <c r="O81" s="9">
        <f>YEAR(Table2[[#This Row],[Date of Joining]])</f>
        <v>2021</v>
      </c>
      <c r="P81" s="9" t="str">
        <f t="shared" ca="1" si="1"/>
        <v>4+ years</v>
      </c>
    </row>
    <row r="82" spans="1:16" x14ac:dyDescent="0.3">
      <c r="A82" s="3" t="s">
        <v>16</v>
      </c>
      <c r="B82" s="3"/>
      <c r="C82" s="4">
        <v>154732</v>
      </c>
      <c r="D82" s="5" t="s">
        <v>142</v>
      </c>
      <c r="E82" s="6">
        <v>44448</v>
      </c>
      <c r="F82" s="6"/>
      <c r="G82" s="7" t="s">
        <v>65</v>
      </c>
      <c r="H82" s="4" t="s">
        <v>86</v>
      </c>
      <c r="I82" s="4" t="s">
        <v>39</v>
      </c>
      <c r="J82" s="8">
        <v>44507</v>
      </c>
      <c r="K82" s="8" t="s">
        <v>23</v>
      </c>
      <c r="L82" s="5" t="s">
        <v>97</v>
      </c>
      <c r="M82" s="5" t="s">
        <v>24</v>
      </c>
      <c r="N82" s="5">
        <v>0</v>
      </c>
      <c r="O82" s="9">
        <f>YEAR(Table2[[#This Row],[Date of Joining]])</f>
        <v>2021</v>
      </c>
      <c r="P82" s="9" t="str">
        <f t="shared" ca="1" si="1"/>
        <v>4+ years</v>
      </c>
    </row>
    <row r="83" spans="1:16" x14ac:dyDescent="0.3">
      <c r="A83" s="3" t="s">
        <v>16</v>
      </c>
      <c r="B83" s="3"/>
      <c r="C83" s="4">
        <v>137413</v>
      </c>
      <c r="D83" s="5" t="s">
        <v>143</v>
      </c>
      <c r="E83" s="6">
        <v>44455</v>
      </c>
      <c r="F83" s="6"/>
      <c r="G83" s="7" t="s">
        <v>65</v>
      </c>
      <c r="H83" s="4" t="s">
        <v>86</v>
      </c>
      <c r="I83" s="4" t="s">
        <v>22</v>
      </c>
      <c r="J83" s="8">
        <v>44220</v>
      </c>
      <c r="K83" s="8" t="s">
        <v>23</v>
      </c>
      <c r="L83" s="5" t="s">
        <v>89</v>
      </c>
      <c r="M83" s="5" t="s">
        <v>24</v>
      </c>
      <c r="N83" s="5">
        <v>9</v>
      </c>
      <c r="O83" s="9">
        <f>YEAR(Table2[[#This Row],[Date of Joining]])</f>
        <v>2021</v>
      </c>
      <c r="P83" s="9" t="str">
        <f t="shared" ca="1" si="1"/>
        <v>4+ years</v>
      </c>
    </row>
    <row r="84" spans="1:16" x14ac:dyDescent="0.3">
      <c r="A84" s="3" t="s">
        <v>16</v>
      </c>
      <c r="B84" s="3"/>
      <c r="C84" s="4">
        <v>185734</v>
      </c>
      <c r="D84" s="5" t="s">
        <v>144</v>
      </c>
      <c r="E84" s="6">
        <v>44455</v>
      </c>
      <c r="F84" s="6"/>
      <c r="G84" s="7" t="s">
        <v>57</v>
      </c>
      <c r="H84" s="4" t="s">
        <v>86</v>
      </c>
      <c r="I84" s="4" t="s">
        <v>22</v>
      </c>
      <c r="J84" s="8">
        <v>44536</v>
      </c>
      <c r="K84" s="8" t="s">
        <v>23</v>
      </c>
      <c r="L84" s="5" t="s">
        <v>97</v>
      </c>
      <c r="M84" s="5" t="s">
        <v>49</v>
      </c>
      <c r="N84" s="5">
        <v>0</v>
      </c>
      <c r="O84" s="9">
        <f>YEAR(Table2[[#This Row],[Date of Joining]])</f>
        <v>2021</v>
      </c>
      <c r="P84" s="9" t="str">
        <f t="shared" ca="1" si="1"/>
        <v>4+ years</v>
      </c>
    </row>
    <row r="85" spans="1:16" x14ac:dyDescent="0.3">
      <c r="A85" s="3" t="s">
        <v>16</v>
      </c>
      <c r="B85" s="3"/>
      <c r="C85" s="4">
        <v>142749</v>
      </c>
      <c r="D85" s="5" t="s">
        <v>145</v>
      </c>
      <c r="E85" s="6">
        <v>44469</v>
      </c>
      <c r="F85" s="6"/>
      <c r="G85" s="7" t="s">
        <v>57</v>
      </c>
      <c r="H85" s="4" t="s">
        <v>86</v>
      </c>
      <c r="I85" s="4" t="s">
        <v>22</v>
      </c>
      <c r="J85" s="8">
        <v>44381</v>
      </c>
      <c r="K85" s="8" t="s">
        <v>23</v>
      </c>
      <c r="L85" s="5" t="s">
        <v>29</v>
      </c>
      <c r="M85" s="5" t="s">
        <v>24</v>
      </c>
      <c r="N85" s="5">
        <v>17</v>
      </c>
      <c r="O85" s="9">
        <f>YEAR(Table2[[#This Row],[Date of Joining]])</f>
        <v>2021</v>
      </c>
      <c r="P85" s="9" t="str">
        <f t="shared" ca="1" si="1"/>
        <v>4+ years</v>
      </c>
    </row>
    <row r="86" spans="1:16" x14ac:dyDescent="0.3">
      <c r="A86" s="3" t="s">
        <v>25</v>
      </c>
      <c r="B86" s="3"/>
      <c r="C86" s="4">
        <v>116657</v>
      </c>
      <c r="D86" s="5" t="s">
        <v>146</v>
      </c>
      <c r="E86" s="6">
        <v>44490</v>
      </c>
      <c r="F86" s="6">
        <v>44740</v>
      </c>
      <c r="G86" s="7" t="s">
        <v>57</v>
      </c>
      <c r="H86" s="4" t="s">
        <v>86</v>
      </c>
      <c r="I86" s="4" t="s">
        <v>22</v>
      </c>
      <c r="J86" s="8">
        <v>44300</v>
      </c>
      <c r="K86" s="8" t="s">
        <v>23</v>
      </c>
      <c r="L86" s="5" t="s">
        <v>29</v>
      </c>
      <c r="M86" s="5" t="s">
        <v>24</v>
      </c>
      <c r="N86" s="5">
        <v>4.5999999999999996</v>
      </c>
      <c r="O86" s="9">
        <f>YEAR(Table2[[#This Row],[Date of Joining]])</f>
        <v>2021</v>
      </c>
      <c r="P86" s="9" t="str">
        <f t="shared" ca="1" si="1"/>
        <v>4+ years</v>
      </c>
    </row>
    <row r="87" spans="1:16" x14ac:dyDescent="0.3">
      <c r="A87" s="3" t="s">
        <v>16</v>
      </c>
      <c r="B87" s="3"/>
      <c r="C87" s="4">
        <v>144530</v>
      </c>
      <c r="D87" s="5" t="s">
        <v>147</v>
      </c>
      <c r="E87" s="6">
        <v>44518</v>
      </c>
      <c r="F87" s="6"/>
      <c r="G87" s="7" t="s">
        <v>57</v>
      </c>
      <c r="H87" s="4" t="s">
        <v>86</v>
      </c>
      <c r="I87" s="4" t="s">
        <v>22</v>
      </c>
      <c r="J87" s="8">
        <v>44275</v>
      </c>
      <c r="K87" s="8" t="s">
        <v>23</v>
      </c>
      <c r="L87" s="5" t="s">
        <v>29</v>
      </c>
      <c r="M87" s="5" t="s">
        <v>62</v>
      </c>
      <c r="N87" s="5">
        <v>14</v>
      </c>
      <c r="O87" s="9">
        <f>YEAR(Table2[[#This Row],[Date of Joining]])</f>
        <v>2021</v>
      </c>
      <c r="P87" s="9" t="str">
        <f t="shared" ca="1" si="1"/>
        <v>4+ years</v>
      </c>
    </row>
    <row r="88" spans="1:16" x14ac:dyDescent="0.3">
      <c r="A88" s="3" t="s">
        <v>16</v>
      </c>
      <c r="B88" s="3"/>
      <c r="C88" s="4">
        <v>101259</v>
      </c>
      <c r="D88" s="5" t="s">
        <v>148</v>
      </c>
      <c r="E88" s="6">
        <v>44616</v>
      </c>
      <c r="F88" s="6"/>
      <c r="G88" s="7" t="s">
        <v>38</v>
      </c>
      <c r="H88" s="4" t="s">
        <v>86</v>
      </c>
      <c r="I88" s="4" t="s">
        <v>22</v>
      </c>
      <c r="J88" s="8">
        <v>44527</v>
      </c>
      <c r="K88" s="8" t="s">
        <v>28</v>
      </c>
      <c r="L88" s="5" t="s">
        <v>89</v>
      </c>
      <c r="M88" s="5" t="s">
        <v>24</v>
      </c>
      <c r="N88" s="5">
        <v>12</v>
      </c>
      <c r="O88" s="9">
        <f>YEAR(Table2[[#This Row],[Date of Joining]])</f>
        <v>2022</v>
      </c>
      <c r="P88" s="9" t="str">
        <f t="shared" ca="1" si="1"/>
        <v>4+ years</v>
      </c>
    </row>
    <row r="89" spans="1:16" x14ac:dyDescent="0.3">
      <c r="A89" s="3" t="s">
        <v>16</v>
      </c>
      <c r="B89" s="3"/>
      <c r="C89" s="4">
        <v>122323</v>
      </c>
      <c r="D89" s="5" t="s">
        <v>149</v>
      </c>
      <c r="E89" s="6">
        <v>44623</v>
      </c>
      <c r="F89" s="6"/>
      <c r="G89" s="5" t="s">
        <v>43</v>
      </c>
      <c r="H89" s="4" t="s">
        <v>86</v>
      </c>
      <c r="I89" s="4" t="s">
        <v>39</v>
      </c>
      <c r="J89" s="8">
        <v>44426</v>
      </c>
      <c r="K89" s="8" t="s">
        <v>28</v>
      </c>
      <c r="L89" s="5" t="s">
        <v>29</v>
      </c>
      <c r="M89" s="5" t="s">
        <v>62</v>
      </c>
      <c r="N89" s="5">
        <v>14</v>
      </c>
      <c r="O89" s="9">
        <f>YEAR(Table2[[#This Row],[Date of Joining]])</f>
        <v>2022</v>
      </c>
      <c r="P89" s="9" t="str">
        <f t="shared" ca="1" si="1"/>
        <v>4+ years</v>
      </c>
    </row>
    <row r="90" spans="1:16" x14ac:dyDescent="0.3">
      <c r="A90" s="3" t="s">
        <v>16</v>
      </c>
      <c r="B90" s="3"/>
      <c r="C90" s="4">
        <v>136489</v>
      </c>
      <c r="D90" s="5" t="s">
        <v>150</v>
      </c>
      <c r="E90" s="6">
        <v>44637</v>
      </c>
      <c r="F90" s="6"/>
      <c r="G90" s="7" t="s">
        <v>57</v>
      </c>
      <c r="H90" s="4" t="s">
        <v>86</v>
      </c>
      <c r="I90" s="4" t="s">
        <v>22</v>
      </c>
      <c r="J90" s="8">
        <v>44230</v>
      </c>
      <c r="K90" s="8" t="s">
        <v>28</v>
      </c>
      <c r="L90" s="5" t="s">
        <v>29</v>
      </c>
      <c r="M90" s="5" t="s">
        <v>62</v>
      </c>
      <c r="N90" s="5">
        <v>5.3</v>
      </c>
      <c r="O90" s="9">
        <f>YEAR(Table2[[#This Row],[Date of Joining]])</f>
        <v>2022</v>
      </c>
      <c r="P90" s="9" t="str">
        <f t="shared" ca="1" si="1"/>
        <v>4+ years</v>
      </c>
    </row>
    <row r="91" spans="1:16" x14ac:dyDescent="0.3">
      <c r="A91" s="3" t="s">
        <v>16</v>
      </c>
      <c r="B91" s="3"/>
      <c r="C91" s="4">
        <v>107161</v>
      </c>
      <c r="D91" s="5" t="s">
        <v>151</v>
      </c>
      <c r="E91" s="6">
        <v>44644</v>
      </c>
      <c r="F91" s="6"/>
      <c r="G91" s="7" t="s">
        <v>20</v>
      </c>
      <c r="H91" s="4" t="s">
        <v>86</v>
      </c>
      <c r="I91" s="4" t="s">
        <v>39</v>
      </c>
      <c r="J91" s="8">
        <v>44402</v>
      </c>
      <c r="K91" s="8" t="s">
        <v>23</v>
      </c>
      <c r="L91" s="5" t="s">
        <v>97</v>
      </c>
      <c r="M91" s="5" t="s">
        <v>62</v>
      </c>
      <c r="N91" s="5">
        <v>2.5</v>
      </c>
      <c r="O91" s="9">
        <f>YEAR(Table2[[#This Row],[Date of Joining]])</f>
        <v>2022</v>
      </c>
      <c r="P91" s="9" t="str">
        <f t="shared" ca="1" si="1"/>
        <v>4+ years</v>
      </c>
    </row>
    <row r="92" spans="1:16" x14ac:dyDescent="0.3">
      <c r="A92" s="3" t="s">
        <v>16</v>
      </c>
      <c r="B92" s="3"/>
      <c r="C92" s="4">
        <v>182061</v>
      </c>
      <c r="D92" s="5" t="s">
        <v>152</v>
      </c>
      <c r="E92" s="6">
        <v>44644</v>
      </c>
      <c r="F92" s="6"/>
      <c r="G92" s="7" t="s">
        <v>57</v>
      </c>
      <c r="H92" s="4" t="s">
        <v>86</v>
      </c>
      <c r="I92" s="4" t="s">
        <v>22</v>
      </c>
      <c r="J92" s="8">
        <v>44322</v>
      </c>
      <c r="K92" s="8" t="s">
        <v>23</v>
      </c>
      <c r="L92" s="5" t="s">
        <v>29</v>
      </c>
      <c r="M92" s="5" t="s">
        <v>62</v>
      </c>
      <c r="N92" s="5">
        <v>2.11</v>
      </c>
      <c r="O92" s="9">
        <f>YEAR(Table2[[#This Row],[Date of Joining]])</f>
        <v>2022</v>
      </c>
      <c r="P92" s="9" t="str">
        <f t="shared" ca="1" si="1"/>
        <v>4+ years</v>
      </c>
    </row>
    <row r="93" spans="1:16" x14ac:dyDescent="0.3">
      <c r="A93" s="3" t="s">
        <v>16</v>
      </c>
      <c r="B93" s="3"/>
      <c r="C93" s="4">
        <v>123190</v>
      </c>
      <c r="D93" s="5" t="s">
        <v>153</v>
      </c>
      <c r="E93" s="6">
        <v>44658</v>
      </c>
      <c r="F93" s="6"/>
      <c r="G93" s="7" t="s">
        <v>57</v>
      </c>
      <c r="H93" s="4" t="s">
        <v>86</v>
      </c>
      <c r="I93" s="4" t="s">
        <v>39</v>
      </c>
      <c r="J93" s="8">
        <v>44214</v>
      </c>
      <c r="K93" s="8" t="s">
        <v>23</v>
      </c>
      <c r="L93" s="5" t="s">
        <v>97</v>
      </c>
      <c r="M93" s="5" t="s">
        <v>62</v>
      </c>
      <c r="N93" s="5">
        <v>0</v>
      </c>
      <c r="O93" s="9">
        <f>YEAR(Table2[[#This Row],[Date of Joining]])</f>
        <v>2022</v>
      </c>
      <c r="P93" s="9" t="str">
        <f t="shared" ca="1" si="1"/>
        <v>4+ years</v>
      </c>
    </row>
    <row r="94" spans="1:16" x14ac:dyDescent="0.3">
      <c r="A94" s="3" t="s">
        <v>16</v>
      </c>
      <c r="B94" s="3"/>
      <c r="C94" s="4">
        <v>118638</v>
      </c>
      <c r="D94" s="5" t="s">
        <v>154</v>
      </c>
      <c r="E94" s="6">
        <v>44658</v>
      </c>
      <c r="F94" s="6"/>
      <c r="G94" s="7" t="s">
        <v>57</v>
      </c>
      <c r="H94" s="4" t="s">
        <v>86</v>
      </c>
      <c r="I94" s="4" t="s">
        <v>22</v>
      </c>
      <c r="J94" s="8">
        <v>44524</v>
      </c>
      <c r="K94" s="8" t="s">
        <v>28</v>
      </c>
      <c r="L94" s="5" t="s">
        <v>29</v>
      </c>
      <c r="M94" s="5" t="s">
        <v>62</v>
      </c>
      <c r="N94" s="5">
        <v>15</v>
      </c>
      <c r="O94" s="9">
        <f>YEAR(Table2[[#This Row],[Date of Joining]])</f>
        <v>2022</v>
      </c>
      <c r="P94" s="9" t="str">
        <f t="shared" ca="1" si="1"/>
        <v>4+ years</v>
      </c>
    </row>
    <row r="95" spans="1:16" x14ac:dyDescent="0.3">
      <c r="A95" s="3" t="s">
        <v>16</v>
      </c>
      <c r="B95" s="3"/>
      <c r="C95" s="4">
        <v>132330</v>
      </c>
      <c r="D95" s="5" t="s">
        <v>155</v>
      </c>
      <c r="E95" s="6">
        <v>44665</v>
      </c>
      <c r="F95" s="6"/>
      <c r="G95" s="5" t="s">
        <v>52</v>
      </c>
      <c r="H95" s="4" t="s">
        <v>86</v>
      </c>
      <c r="I95" s="4" t="s">
        <v>22</v>
      </c>
      <c r="J95" s="8">
        <v>44483</v>
      </c>
      <c r="K95" s="8" t="s">
        <v>28</v>
      </c>
      <c r="L95" s="5" t="s">
        <v>89</v>
      </c>
      <c r="M95" s="5" t="s">
        <v>49</v>
      </c>
      <c r="N95" s="5">
        <v>14</v>
      </c>
      <c r="O95" s="9">
        <f>YEAR(Table2[[#This Row],[Date of Joining]])</f>
        <v>2022</v>
      </c>
      <c r="P95" s="9" t="str">
        <f t="shared" ca="1" si="1"/>
        <v>4+ years</v>
      </c>
    </row>
    <row r="96" spans="1:16" x14ac:dyDescent="0.3">
      <c r="A96" s="3" t="s">
        <v>16</v>
      </c>
      <c r="B96" s="3"/>
      <c r="C96" s="4">
        <v>191594</v>
      </c>
      <c r="D96" s="5" t="s">
        <v>156</v>
      </c>
      <c r="E96" s="6">
        <v>44670</v>
      </c>
      <c r="F96" s="6"/>
      <c r="G96" s="5" t="s">
        <v>43</v>
      </c>
      <c r="H96" s="4" t="s">
        <v>86</v>
      </c>
      <c r="I96" s="4" t="s">
        <v>22</v>
      </c>
      <c r="J96" s="8">
        <v>44446</v>
      </c>
      <c r="K96" s="8" t="s">
        <v>28</v>
      </c>
      <c r="L96" s="5" t="s">
        <v>29</v>
      </c>
      <c r="M96" s="5" t="s">
        <v>24</v>
      </c>
      <c r="N96" s="5">
        <v>8</v>
      </c>
      <c r="O96" s="9">
        <f>YEAR(Table2[[#This Row],[Date of Joining]])</f>
        <v>2022</v>
      </c>
      <c r="P96" s="9" t="str">
        <f t="shared" ca="1" si="1"/>
        <v>4+ years</v>
      </c>
    </row>
    <row r="97" spans="1:16" x14ac:dyDescent="0.3">
      <c r="A97" s="3" t="s">
        <v>136</v>
      </c>
      <c r="B97" s="3"/>
      <c r="C97" s="4">
        <v>152991</v>
      </c>
      <c r="D97" s="5" t="s">
        <v>157</v>
      </c>
      <c r="E97" s="6">
        <v>44686</v>
      </c>
      <c r="F97" s="6"/>
      <c r="G97" s="7" t="s">
        <v>38</v>
      </c>
      <c r="H97" s="4" t="s">
        <v>86</v>
      </c>
      <c r="I97" s="4" t="s">
        <v>22</v>
      </c>
      <c r="J97" s="8">
        <v>44245</v>
      </c>
      <c r="K97" s="8" t="s">
        <v>28</v>
      </c>
      <c r="L97" s="5" t="s">
        <v>29</v>
      </c>
      <c r="M97" s="5" t="s">
        <v>24</v>
      </c>
      <c r="N97" s="5">
        <v>15</v>
      </c>
      <c r="O97" s="9">
        <f>YEAR(Table2[[#This Row],[Date of Joining]])</f>
        <v>2022</v>
      </c>
      <c r="P97" s="9" t="str">
        <f t="shared" ca="1" si="1"/>
        <v>4+ years</v>
      </c>
    </row>
    <row r="98" spans="1:16" x14ac:dyDescent="0.3">
      <c r="A98" s="3" t="s">
        <v>25</v>
      </c>
      <c r="B98" s="3" t="s">
        <v>133</v>
      </c>
      <c r="C98" s="4">
        <v>101996</v>
      </c>
      <c r="D98" s="5" t="s">
        <v>158</v>
      </c>
      <c r="E98" s="6">
        <v>44742</v>
      </c>
      <c r="F98" s="6">
        <v>45108</v>
      </c>
      <c r="G98" s="7" t="s">
        <v>38</v>
      </c>
      <c r="H98" s="4" t="s">
        <v>86</v>
      </c>
      <c r="I98" s="4" t="s">
        <v>22</v>
      </c>
      <c r="J98" s="8">
        <v>44414</v>
      </c>
      <c r="K98" s="8" t="s">
        <v>23</v>
      </c>
      <c r="L98" s="5" t="s">
        <v>97</v>
      </c>
      <c r="M98" s="5" t="s">
        <v>62</v>
      </c>
      <c r="N98" s="5">
        <v>1</v>
      </c>
      <c r="O98" s="9">
        <f>YEAR(Table2[[#This Row],[Date of Joining]])</f>
        <v>2022</v>
      </c>
      <c r="P98" s="9" t="str">
        <f t="shared" ca="1" si="1"/>
        <v>3+ years</v>
      </c>
    </row>
    <row r="99" spans="1:16" x14ac:dyDescent="0.3">
      <c r="A99" s="3" t="s">
        <v>25</v>
      </c>
      <c r="B99" s="3"/>
      <c r="C99" s="4">
        <v>138939</v>
      </c>
      <c r="D99" s="5" t="s">
        <v>159</v>
      </c>
      <c r="E99" s="6">
        <v>44749</v>
      </c>
      <c r="F99" s="6">
        <v>45054</v>
      </c>
      <c r="G99" s="7" t="s">
        <v>38</v>
      </c>
      <c r="H99" s="4" t="s">
        <v>86</v>
      </c>
      <c r="I99" s="4" t="s">
        <v>39</v>
      </c>
      <c r="J99" s="8">
        <v>44289</v>
      </c>
      <c r="K99" s="8" t="s">
        <v>28</v>
      </c>
      <c r="L99" s="5" t="s">
        <v>29</v>
      </c>
      <c r="M99" s="5" t="s">
        <v>24</v>
      </c>
      <c r="N99" s="5">
        <v>6</v>
      </c>
      <c r="O99" s="9">
        <f>YEAR(Table2[[#This Row],[Date of Joining]])</f>
        <v>2022</v>
      </c>
      <c r="P99" s="9" t="str">
        <f t="shared" ca="1" si="1"/>
        <v>3+ years</v>
      </c>
    </row>
    <row r="100" spans="1:16" x14ac:dyDescent="0.3">
      <c r="A100" s="3" t="s">
        <v>25</v>
      </c>
      <c r="B100" s="3"/>
      <c r="C100" s="4">
        <v>198396</v>
      </c>
      <c r="D100" s="5" t="s">
        <v>160</v>
      </c>
      <c r="E100" s="6">
        <v>44763</v>
      </c>
      <c r="F100" s="6">
        <v>45324</v>
      </c>
      <c r="G100" s="7" t="s">
        <v>38</v>
      </c>
      <c r="H100" s="4" t="s">
        <v>86</v>
      </c>
      <c r="I100" s="4" t="s">
        <v>22</v>
      </c>
      <c r="J100" s="8">
        <v>44208</v>
      </c>
      <c r="K100" s="8" t="s">
        <v>28</v>
      </c>
      <c r="L100" s="5" t="s">
        <v>89</v>
      </c>
      <c r="M100" s="5" t="s">
        <v>30</v>
      </c>
      <c r="N100" s="5">
        <v>18</v>
      </c>
      <c r="O100" s="9">
        <f>YEAR(Table2[[#This Row],[Date of Joining]])</f>
        <v>2022</v>
      </c>
      <c r="P100" s="9" t="str">
        <f t="shared" ca="1" si="1"/>
        <v>3+ years</v>
      </c>
    </row>
    <row r="101" spans="1:16" x14ac:dyDescent="0.3">
      <c r="A101" s="3" t="s">
        <v>16</v>
      </c>
      <c r="B101" s="3"/>
      <c r="C101" s="4">
        <v>194143</v>
      </c>
      <c r="D101" s="5" t="s">
        <v>161</v>
      </c>
      <c r="E101" s="6">
        <v>44763</v>
      </c>
      <c r="F101" s="6"/>
      <c r="G101" s="7" t="s">
        <v>57</v>
      </c>
      <c r="H101" s="4" t="s">
        <v>86</v>
      </c>
      <c r="I101" s="4" t="s">
        <v>22</v>
      </c>
      <c r="J101" s="8">
        <v>44248</v>
      </c>
      <c r="K101" s="8" t="s">
        <v>28</v>
      </c>
      <c r="L101" s="5" t="s">
        <v>29</v>
      </c>
      <c r="M101" s="5" t="s">
        <v>62</v>
      </c>
      <c r="N101" s="5">
        <v>6.5</v>
      </c>
      <c r="O101" s="9">
        <f>YEAR(Table2[[#This Row],[Date of Joining]])</f>
        <v>2022</v>
      </c>
      <c r="P101" s="9" t="str">
        <f t="shared" ca="1" si="1"/>
        <v>3+ years</v>
      </c>
    </row>
    <row r="102" spans="1:16" x14ac:dyDescent="0.3">
      <c r="A102" s="3" t="s">
        <v>136</v>
      </c>
      <c r="B102" s="3"/>
      <c r="C102" s="4">
        <v>134729</v>
      </c>
      <c r="D102" s="5" t="s">
        <v>162</v>
      </c>
      <c r="E102" s="6">
        <v>44768</v>
      </c>
      <c r="F102" s="6"/>
      <c r="G102" s="7" t="s">
        <v>38</v>
      </c>
      <c r="H102" s="4" t="s">
        <v>86</v>
      </c>
      <c r="I102" s="4" t="s">
        <v>22</v>
      </c>
      <c r="J102" s="8">
        <v>44206</v>
      </c>
      <c r="K102" s="8" t="s">
        <v>23</v>
      </c>
      <c r="L102" s="5" t="s">
        <v>29</v>
      </c>
      <c r="M102" s="5" t="s">
        <v>24</v>
      </c>
      <c r="N102" s="5">
        <v>7</v>
      </c>
      <c r="O102" s="9">
        <f>YEAR(Table2[[#This Row],[Date of Joining]])</f>
        <v>2022</v>
      </c>
      <c r="P102" s="9" t="str">
        <f t="shared" ca="1" si="1"/>
        <v>3+ years</v>
      </c>
    </row>
    <row r="103" spans="1:16" x14ac:dyDescent="0.3">
      <c r="A103" s="3" t="s">
        <v>25</v>
      </c>
      <c r="B103" s="3"/>
      <c r="C103" s="4">
        <v>186526</v>
      </c>
      <c r="D103" s="5" t="s">
        <v>163</v>
      </c>
      <c r="E103" s="6">
        <v>44805</v>
      </c>
      <c r="F103" s="6">
        <v>45269</v>
      </c>
      <c r="G103" s="7" t="s">
        <v>57</v>
      </c>
      <c r="H103" s="4" t="s">
        <v>86</v>
      </c>
      <c r="I103" s="4" t="s">
        <v>39</v>
      </c>
      <c r="J103" s="8">
        <v>44540</v>
      </c>
      <c r="K103" s="8" t="s">
        <v>28</v>
      </c>
      <c r="L103" s="5" t="s">
        <v>97</v>
      </c>
      <c r="M103" s="5" t="s">
        <v>62</v>
      </c>
      <c r="N103" s="5">
        <v>1.8</v>
      </c>
      <c r="O103" s="9">
        <f>YEAR(Table2[[#This Row],[Date of Joining]])</f>
        <v>2022</v>
      </c>
      <c r="P103" s="9" t="str">
        <f t="shared" ca="1" si="1"/>
        <v>3+ years</v>
      </c>
    </row>
    <row r="104" spans="1:16" x14ac:dyDescent="0.3">
      <c r="A104" s="3" t="s">
        <v>16</v>
      </c>
      <c r="B104" s="3"/>
      <c r="C104" s="4">
        <v>115395</v>
      </c>
      <c r="D104" s="5" t="s">
        <v>164</v>
      </c>
      <c r="E104" s="6">
        <v>44805</v>
      </c>
      <c r="F104" s="6"/>
      <c r="G104" s="7" t="s">
        <v>57</v>
      </c>
      <c r="H104" s="4" t="s">
        <v>86</v>
      </c>
      <c r="I104" s="4" t="s">
        <v>39</v>
      </c>
      <c r="J104" s="8">
        <v>44495</v>
      </c>
      <c r="K104" s="8" t="s">
        <v>23</v>
      </c>
      <c r="L104" s="5" t="s">
        <v>97</v>
      </c>
      <c r="M104" s="5" t="s">
        <v>62</v>
      </c>
      <c r="N104" s="5">
        <v>3.5</v>
      </c>
      <c r="O104" s="9">
        <f>YEAR(Table2[[#This Row],[Date of Joining]])</f>
        <v>2022</v>
      </c>
      <c r="P104" s="9" t="str">
        <f t="shared" ca="1" si="1"/>
        <v>3+ years</v>
      </c>
    </row>
    <row r="105" spans="1:16" x14ac:dyDescent="0.3">
      <c r="A105" s="3" t="s">
        <v>16</v>
      </c>
      <c r="B105" s="3"/>
      <c r="C105" s="4">
        <v>160948</v>
      </c>
      <c r="D105" s="5" t="s">
        <v>165</v>
      </c>
      <c r="E105" s="6">
        <v>44805</v>
      </c>
      <c r="F105" s="6"/>
      <c r="G105" s="7" t="s">
        <v>57</v>
      </c>
      <c r="H105" s="4" t="s">
        <v>86</v>
      </c>
      <c r="I105" s="4" t="s">
        <v>39</v>
      </c>
      <c r="J105" s="8">
        <v>44472</v>
      </c>
      <c r="K105" s="8" t="s">
        <v>23</v>
      </c>
      <c r="L105" s="5" t="s">
        <v>97</v>
      </c>
      <c r="M105" s="5" t="s">
        <v>62</v>
      </c>
      <c r="N105" s="5">
        <v>0</v>
      </c>
      <c r="O105" s="9">
        <f>YEAR(Table2[[#This Row],[Date of Joining]])</f>
        <v>2022</v>
      </c>
      <c r="P105" s="9" t="str">
        <f t="shared" ca="1" si="1"/>
        <v>3+ years</v>
      </c>
    </row>
    <row r="106" spans="1:16" x14ac:dyDescent="0.3">
      <c r="A106" s="3" t="s">
        <v>16</v>
      </c>
      <c r="B106" s="3"/>
      <c r="C106" s="4">
        <v>163814</v>
      </c>
      <c r="D106" s="5" t="s">
        <v>166</v>
      </c>
      <c r="E106" s="6">
        <v>44805</v>
      </c>
      <c r="F106" s="6"/>
      <c r="G106" s="7" t="s">
        <v>20</v>
      </c>
      <c r="H106" s="4" t="s">
        <v>86</v>
      </c>
      <c r="I106" s="4" t="s">
        <v>22</v>
      </c>
      <c r="J106" s="8">
        <v>44208</v>
      </c>
      <c r="K106" s="8" t="s">
        <v>23</v>
      </c>
      <c r="L106" s="5" t="s">
        <v>97</v>
      </c>
      <c r="M106" s="5" t="s">
        <v>62</v>
      </c>
      <c r="N106" s="5">
        <v>2</v>
      </c>
      <c r="O106" s="9">
        <f>YEAR(Table2[[#This Row],[Date of Joining]])</f>
        <v>2022</v>
      </c>
      <c r="P106" s="9" t="str">
        <f t="shared" ca="1" si="1"/>
        <v>3+ years</v>
      </c>
    </row>
    <row r="107" spans="1:16" x14ac:dyDescent="0.3">
      <c r="A107" s="3" t="s">
        <v>16</v>
      </c>
      <c r="B107" s="3"/>
      <c r="C107" s="4">
        <v>163161</v>
      </c>
      <c r="D107" s="5" t="s">
        <v>167</v>
      </c>
      <c r="E107" s="6">
        <v>44805</v>
      </c>
      <c r="F107" s="6"/>
      <c r="G107" s="7" t="s">
        <v>57</v>
      </c>
      <c r="H107" s="4" t="s">
        <v>86</v>
      </c>
      <c r="I107" s="4" t="s">
        <v>22</v>
      </c>
      <c r="J107" s="8">
        <v>44215</v>
      </c>
      <c r="K107" s="8" t="s">
        <v>28</v>
      </c>
      <c r="L107" s="5" t="s">
        <v>29</v>
      </c>
      <c r="M107" s="5" t="s">
        <v>62</v>
      </c>
      <c r="N107" s="5">
        <v>13</v>
      </c>
      <c r="O107" s="9">
        <f>YEAR(Table2[[#This Row],[Date of Joining]])</f>
        <v>2022</v>
      </c>
      <c r="P107" s="9" t="str">
        <f t="shared" ca="1" si="1"/>
        <v>3+ years</v>
      </c>
    </row>
    <row r="108" spans="1:16" x14ac:dyDescent="0.3">
      <c r="A108" s="3" t="s">
        <v>16</v>
      </c>
      <c r="B108" s="3"/>
      <c r="C108" s="4">
        <v>173240</v>
      </c>
      <c r="D108" s="5" t="s">
        <v>168</v>
      </c>
      <c r="E108" s="6">
        <v>44819</v>
      </c>
      <c r="F108" s="6"/>
      <c r="G108" s="7" t="s">
        <v>20</v>
      </c>
      <c r="H108" s="4" t="s">
        <v>86</v>
      </c>
      <c r="I108" s="4" t="s">
        <v>39</v>
      </c>
      <c r="J108" s="8">
        <v>44229</v>
      </c>
      <c r="K108" s="8" t="s">
        <v>28</v>
      </c>
      <c r="L108" s="5" t="s">
        <v>29</v>
      </c>
      <c r="M108" s="5" t="s">
        <v>62</v>
      </c>
      <c r="N108" s="5">
        <v>8.1999999999999993</v>
      </c>
      <c r="O108" s="9">
        <f>YEAR(Table2[[#This Row],[Date of Joining]])</f>
        <v>2022</v>
      </c>
      <c r="P108" s="9" t="str">
        <f t="shared" ca="1" si="1"/>
        <v>3+ years</v>
      </c>
    </row>
    <row r="109" spans="1:16" x14ac:dyDescent="0.3">
      <c r="A109" s="3" t="s">
        <v>16</v>
      </c>
      <c r="B109" s="3"/>
      <c r="C109" s="4">
        <v>109673</v>
      </c>
      <c r="D109" s="5" t="s">
        <v>169</v>
      </c>
      <c r="E109" s="6">
        <v>44840</v>
      </c>
      <c r="F109" s="6"/>
      <c r="G109" s="7" t="s">
        <v>57</v>
      </c>
      <c r="H109" s="4" t="s">
        <v>86</v>
      </c>
      <c r="I109" s="4" t="s">
        <v>22</v>
      </c>
      <c r="J109" s="8">
        <v>44326</v>
      </c>
      <c r="K109" s="8" t="s">
        <v>23</v>
      </c>
      <c r="L109" s="5" t="s">
        <v>97</v>
      </c>
      <c r="M109" s="5" t="s">
        <v>62</v>
      </c>
      <c r="N109" s="5">
        <v>7.6</v>
      </c>
      <c r="O109" s="9">
        <f>YEAR(Table2[[#This Row],[Date of Joining]])</f>
        <v>2022</v>
      </c>
      <c r="P109" s="9" t="str">
        <f t="shared" ca="1" si="1"/>
        <v>3+ years</v>
      </c>
    </row>
    <row r="110" spans="1:16" x14ac:dyDescent="0.3">
      <c r="A110" s="3" t="s">
        <v>16</v>
      </c>
      <c r="B110" s="3"/>
      <c r="C110" s="4">
        <v>138302</v>
      </c>
      <c r="D110" s="5" t="s">
        <v>170</v>
      </c>
      <c r="E110" s="6">
        <v>44847</v>
      </c>
      <c r="F110" s="6"/>
      <c r="G110" s="7" t="s">
        <v>57</v>
      </c>
      <c r="H110" s="4" t="s">
        <v>86</v>
      </c>
      <c r="I110" s="4" t="s">
        <v>22</v>
      </c>
      <c r="J110" s="8">
        <v>44433</v>
      </c>
      <c r="K110" s="8" t="s">
        <v>23</v>
      </c>
      <c r="L110" s="5" t="s">
        <v>97</v>
      </c>
      <c r="M110" s="5" t="s">
        <v>62</v>
      </c>
      <c r="N110" s="5">
        <v>6.2</v>
      </c>
      <c r="O110" s="9">
        <f>YEAR(Table2[[#This Row],[Date of Joining]])</f>
        <v>2022</v>
      </c>
      <c r="P110" s="9" t="str">
        <f t="shared" ca="1" si="1"/>
        <v>3+ years</v>
      </c>
    </row>
    <row r="111" spans="1:16" x14ac:dyDescent="0.3">
      <c r="A111" s="3" t="s">
        <v>136</v>
      </c>
      <c r="B111" s="3"/>
      <c r="C111" s="4">
        <v>126765</v>
      </c>
      <c r="D111" s="5" t="s">
        <v>171</v>
      </c>
      <c r="E111" s="6">
        <v>44868</v>
      </c>
      <c r="F111" s="6"/>
      <c r="G111" s="7" t="s">
        <v>38</v>
      </c>
      <c r="H111" s="4" t="s">
        <v>86</v>
      </c>
      <c r="I111" s="4" t="s">
        <v>22</v>
      </c>
      <c r="J111" s="8">
        <v>44217</v>
      </c>
      <c r="K111" s="8" t="s">
        <v>28</v>
      </c>
      <c r="L111" s="5" t="s">
        <v>29</v>
      </c>
      <c r="M111" s="5" t="s">
        <v>24</v>
      </c>
      <c r="N111" s="5">
        <v>15</v>
      </c>
      <c r="O111" s="9">
        <f>YEAR(Table2[[#This Row],[Date of Joining]])</f>
        <v>2022</v>
      </c>
      <c r="P111" s="9" t="str">
        <f t="shared" ca="1" si="1"/>
        <v>3+ years</v>
      </c>
    </row>
    <row r="112" spans="1:16" x14ac:dyDescent="0.3">
      <c r="A112" s="3" t="s">
        <v>136</v>
      </c>
      <c r="B112" s="3"/>
      <c r="C112" s="4">
        <v>188099</v>
      </c>
      <c r="D112" s="5" t="s">
        <v>172</v>
      </c>
      <c r="E112" s="6">
        <v>44901</v>
      </c>
      <c r="F112" s="6"/>
      <c r="G112" s="7" t="s">
        <v>38</v>
      </c>
      <c r="H112" s="4" t="s">
        <v>86</v>
      </c>
      <c r="I112" s="4" t="s">
        <v>22</v>
      </c>
      <c r="J112" s="8">
        <v>44332</v>
      </c>
      <c r="K112" s="8" t="s">
        <v>28</v>
      </c>
      <c r="L112" s="5" t="s">
        <v>29</v>
      </c>
      <c r="M112" s="5" t="s">
        <v>24</v>
      </c>
      <c r="N112" s="5">
        <v>16</v>
      </c>
      <c r="O112" s="9">
        <f>YEAR(Table2[[#This Row],[Date of Joining]])</f>
        <v>2022</v>
      </c>
      <c r="P112" s="9" t="str">
        <f t="shared" ca="1" si="1"/>
        <v>3+ years</v>
      </c>
    </row>
    <row r="113" spans="1:19" x14ac:dyDescent="0.3">
      <c r="A113" s="3" t="s">
        <v>16</v>
      </c>
      <c r="B113" s="3" t="s">
        <v>133</v>
      </c>
      <c r="C113" s="4">
        <v>115441</v>
      </c>
      <c r="D113" s="5" t="s">
        <v>173</v>
      </c>
      <c r="E113" s="6">
        <v>44958</v>
      </c>
      <c r="F113" s="6"/>
      <c r="G113" s="7" t="s">
        <v>38</v>
      </c>
      <c r="H113" s="4" t="s">
        <v>86</v>
      </c>
      <c r="I113" s="4" t="s">
        <v>22</v>
      </c>
      <c r="J113" s="8">
        <v>44377</v>
      </c>
      <c r="K113" s="8" t="s">
        <v>23</v>
      </c>
      <c r="L113" s="5" t="s">
        <v>97</v>
      </c>
      <c r="M113" s="5" t="s">
        <v>44</v>
      </c>
      <c r="N113" s="5">
        <v>1.5</v>
      </c>
      <c r="O113" s="9">
        <f>YEAR(Table2[[#This Row],[Date of Joining]])</f>
        <v>2023</v>
      </c>
      <c r="P113" s="9" t="str">
        <f t="shared" ca="1" si="1"/>
        <v>3+ years</v>
      </c>
    </row>
    <row r="114" spans="1:19" x14ac:dyDescent="0.3">
      <c r="A114" s="3" t="s">
        <v>16</v>
      </c>
      <c r="B114" s="3" t="s">
        <v>133</v>
      </c>
      <c r="C114" s="4">
        <v>169669</v>
      </c>
      <c r="D114" s="5" t="s">
        <v>174</v>
      </c>
      <c r="E114" s="6">
        <v>45027</v>
      </c>
      <c r="F114" s="6"/>
      <c r="G114" s="7" t="s">
        <v>38</v>
      </c>
      <c r="H114" s="4" t="s">
        <v>86</v>
      </c>
      <c r="I114" s="4" t="s">
        <v>39</v>
      </c>
      <c r="J114" s="8">
        <v>44639</v>
      </c>
      <c r="K114" s="8" t="s">
        <v>28</v>
      </c>
      <c r="L114" s="5" t="s">
        <v>29</v>
      </c>
      <c r="M114" s="5" t="s">
        <v>35</v>
      </c>
      <c r="N114" s="5">
        <v>6</v>
      </c>
      <c r="O114" s="9">
        <f>YEAR(Table2[[#This Row],[Date of Joining]])</f>
        <v>2023</v>
      </c>
      <c r="P114" s="9" t="str">
        <f t="shared" ca="1" si="1"/>
        <v>3+ years</v>
      </c>
    </row>
    <row r="115" spans="1:19" x14ac:dyDescent="0.3">
      <c r="A115" s="3" t="s">
        <v>16</v>
      </c>
      <c r="B115" s="3"/>
      <c r="C115" s="4">
        <v>100957</v>
      </c>
      <c r="D115" s="5" t="s">
        <v>175</v>
      </c>
      <c r="E115" s="6">
        <v>45036</v>
      </c>
      <c r="F115" s="6"/>
      <c r="G115" s="7" t="s">
        <v>38</v>
      </c>
      <c r="H115" s="4" t="s">
        <v>86</v>
      </c>
      <c r="I115" s="4" t="s">
        <v>39</v>
      </c>
      <c r="J115" s="8">
        <v>44632</v>
      </c>
      <c r="K115" s="8" t="s">
        <v>28</v>
      </c>
      <c r="L115" s="5" t="s">
        <v>29</v>
      </c>
      <c r="M115" s="5" t="s">
        <v>24</v>
      </c>
      <c r="N115" s="5">
        <v>8</v>
      </c>
      <c r="O115" s="9">
        <f>YEAR(Table2[[#This Row],[Date of Joining]])</f>
        <v>2023</v>
      </c>
      <c r="P115" s="9" t="str">
        <f t="shared" ca="1" si="1"/>
        <v>3+ years</v>
      </c>
    </row>
    <row r="116" spans="1:19" x14ac:dyDescent="0.3">
      <c r="A116" s="3" t="s">
        <v>136</v>
      </c>
      <c r="B116" s="3"/>
      <c r="C116" s="4">
        <v>193737</v>
      </c>
      <c r="D116" s="5" t="s">
        <v>176</v>
      </c>
      <c r="E116" s="6">
        <v>45057</v>
      </c>
      <c r="F116" s="6"/>
      <c r="G116" s="7" t="s">
        <v>38</v>
      </c>
      <c r="H116" s="4" t="s">
        <v>86</v>
      </c>
      <c r="I116" s="4" t="s">
        <v>22</v>
      </c>
      <c r="J116" s="8">
        <v>44847</v>
      </c>
      <c r="K116" s="8" t="s">
        <v>28</v>
      </c>
      <c r="L116" s="5" t="s">
        <v>29</v>
      </c>
      <c r="M116" s="5" t="s">
        <v>24</v>
      </c>
      <c r="N116" s="5">
        <v>11.5</v>
      </c>
      <c r="O116" s="9">
        <f>YEAR(Table2[[#This Row],[Date of Joining]])</f>
        <v>2023</v>
      </c>
      <c r="P116" s="9" t="str">
        <f t="shared" ca="1" si="1"/>
        <v>3+ years</v>
      </c>
    </row>
    <row r="117" spans="1:19" x14ac:dyDescent="0.3">
      <c r="A117" s="3" t="s">
        <v>16</v>
      </c>
      <c r="B117" s="3"/>
      <c r="C117" s="4">
        <v>180698</v>
      </c>
      <c r="D117" s="5" t="s">
        <v>177</v>
      </c>
      <c r="E117" s="6">
        <v>45064</v>
      </c>
      <c r="F117" s="6"/>
      <c r="G117" s="7" t="s">
        <v>38</v>
      </c>
      <c r="H117" s="4" t="s">
        <v>86</v>
      </c>
      <c r="I117" s="4" t="s">
        <v>22</v>
      </c>
      <c r="J117" s="8">
        <v>44629</v>
      </c>
      <c r="K117" s="8" t="s">
        <v>23</v>
      </c>
      <c r="L117" s="5" t="s">
        <v>29</v>
      </c>
      <c r="M117" s="5" t="s">
        <v>24</v>
      </c>
      <c r="N117" s="5">
        <v>3.5</v>
      </c>
      <c r="O117" s="9">
        <f>YEAR(Table2[[#This Row],[Date of Joining]])</f>
        <v>2023</v>
      </c>
      <c r="P117" s="9" t="str">
        <f t="shared" ca="1" si="1"/>
        <v>3+ years</v>
      </c>
    </row>
    <row r="118" spans="1:19" x14ac:dyDescent="0.3">
      <c r="A118" s="3" t="s">
        <v>25</v>
      </c>
      <c r="B118" s="3"/>
      <c r="C118" s="4">
        <v>124433</v>
      </c>
      <c r="D118" s="5" t="s">
        <v>178</v>
      </c>
      <c r="E118" s="6">
        <v>45078</v>
      </c>
      <c r="F118" s="6">
        <v>45118</v>
      </c>
      <c r="G118" s="7" t="s">
        <v>57</v>
      </c>
      <c r="H118" s="4" t="s">
        <v>86</v>
      </c>
      <c r="I118" s="4" t="s">
        <v>39</v>
      </c>
      <c r="J118" s="8">
        <v>44867</v>
      </c>
      <c r="K118" s="8" t="s">
        <v>23</v>
      </c>
      <c r="L118" s="5" t="s">
        <v>97</v>
      </c>
      <c r="M118" s="5" t="s">
        <v>49</v>
      </c>
      <c r="N118" s="5">
        <v>0</v>
      </c>
      <c r="O118" s="9">
        <f>YEAR(Table2[[#This Row],[Date of Joining]])</f>
        <v>2023</v>
      </c>
      <c r="P118" s="9" t="str">
        <f t="shared" ca="1" si="1"/>
        <v>3+ years</v>
      </c>
    </row>
    <row r="119" spans="1:19" x14ac:dyDescent="0.3">
      <c r="A119" s="3" t="s">
        <v>16</v>
      </c>
      <c r="B119" s="3" t="s">
        <v>133</v>
      </c>
      <c r="C119" s="4">
        <v>151636</v>
      </c>
      <c r="D119" s="5" t="s">
        <v>179</v>
      </c>
      <c r="E119" s="6">
        <v>45083</v>
      </c>
      <c r="F119" s="6"/>
      <c r="G119" s="7" t="s">
        <v>38</v>
      </c>
      <c r="H119" s="4" t="s">
        <v>86</v>
      </c>
      <c r="I119" s="4" t="s">
        <v>22</v>
      </c>
      <c r="J119" s="8">
        <v>44255</v>
      </c>
      <c r="K119" s="8" t="s">
        <v>23</v>
      </c>
      <c r="L119" s="5" t="s">
        <v>97</v>
      </c>
      <c r="M119" s="5" t="s">
        <v>49</v>
      </c>
      <c r="N119" s="5">
        <v>1.8</v>
      </c>
      <c r="O119" s="9">
        <f>YEAR(Table2[[#This Row],[Date of Joining]])</f>
        <v>2023</v>
      </c>
      <c r="P119" s="9" t="str">
        <f t="shared" ca="1" si="1"/>
        <v>3+ years</v>
      </c>
    </row>
    <row r="120" spans="1:19" x14ac:dyDescent="0.3">
      <c r="A120" s="3" t="s">
        <v>16</v>
      </c>
      <c r="B120" s="3" t="s">
        <v>133</v>
      </c>
      <c r="C120" s="4">
        <v>173529</v>
      </c>
      <c r="D120" s="5" t="s">
        <v>180</v>
      </c>
      <c r="E120" s="6">
        <v>45083</v>
      </c>
      <c r="F120" s="6"/>
      <c r="G120" s="7" t="s">
        <v>38</v>
      </c>
      <c r="H120" s="4" t="s">
        <v>86</v>
      </c>
      <c r="I120" s="4" t="s">
        <v>39</v>
      </c>
      <c r="J120" s="8">
        <v>44204</v>
      </c>
      <c r="K120" s="8" t="s">
        <v>23</v>
      </c>
      <c r="L120" s="5" t="s">
        <v>97</v>
      </c>
      <c r="M120" s="5" t="s">
        <v>49</v>
      </c>
      <c r="N120" s="5">
        <v>1.5</v>
      </c>
      <c r="O120" s="9">
        <f>YEAR(Table2[[#This Row],[Date of Joining]])</f>
        <v>2023</v>
      </c>
      <c r="P120" s="9" t="str">
        <f t="shared" ca="1" si="1"/>
        <v>3+ years</v>
      </c>
    </row>
    <row r="121" spans="1:19" x14ac:dyDescent="0.3">
      <c r="A121" s="3" t="s">
        <v>16</v>
      </c>
      <c r="B121" s="3" t="s">
        <v>133</v>
      </c>
      <c r="C121" s="4">
        <v>116633</v>
      </c>
      <c r="D121" s="5" t="s">
        <v>181</v>
      </c>
      <c r="E121" s="6">
        <v>45083</v>
      </c>
      <c r="F121" s="6"/>
      <c r="G121" s="7" t="s">
        <v>38</v>
      </c>
      <c r="H121" s="4" t="s">
        <v>86</v>
      </c>
      <c r="I121" s="4" t="s">
        <v>39</v>
      </c>
      <c r="J121" s="8">
        <v>44218</v>
      </c>
      <c r="K121" s="8" t="s">
        <v>23</v>
      </c>
      <c r="L121" s="5" t="s">
        <v>97</v>
      </c>
      <c r="M121" s="5" t="s">
        <v>49</v>
      </c>
      <c r="N121" s="5">
        <v>0.11</v>
      </c>
      <c r="O121" s="9">
        <f>YEAR(Table2[[#This Row],[Date of Joining]])</f>
        <v>2023</v>
      </c>
      <c r="P121" s="9" t="str">
        <f t="shared" ca="1" si="1"/>
        <v>3+ years</v>
      </c>
    </row>
    <row r="122" spans="1:19" x14ac:dyDescent="0.3">
      <c r="A122" s="3" t="s">
        <v>16</v>
      </c>
      <c r="B122" s="3" t="s">
        <v>133</v>
      </c>
      <c r="C122" s="4">
        <v>160990</v>
      </c>
      <c r="D122" s="5" t="s">
        <v>182</v>
      </c>
      <c r="E122" s="6">
        <v>45083</v>
      </c>
      <c r="F122" s="6"/>
      <c r="G122" s="7" t="s">
        <v>38</v>
      </c>
      <c r="H122" s="4" t="s">
        <v>86</v>
      </c>
      <c r="I122" s="4" t="s">
        <v>22</v>
      </c>
      <c r="J122" s="8">
        <v>44804</v>
      </c>
      <c r="K122" s="8" t="s">
        <v>23</v>
      </c>
      <c r="L122" s="5" t="s">
        <v>97</v>
      </c>
      <c r="M122" s="5" t="s">
        <v>49</v>
      </c>
      <c r="N122" s="5">
        <v>0</v>
      </c>
      <c r="O122" s="9">
        <f>YEAR(Table2[[#This Row],[Date of Joining]])</f>
        <v>2023</v>
      </c>
      <c r="P122" s="9" t="str">
        <f t="shared" ca="1" si="1"/>
        <v>3+ years</v>
      </c>
    </row>
    <row r="123" spans="1:19" x14ac:dyDescent="0.3">
      <c r="A123" s="3" t="s">
        <v>25</v>
      </c>
      <c r="B123" s="3"/>
      <c r="C123" s="4">
        <v>170513</v>
      </c>
      <c r="D123" s="5" t="s">
        <v>183</v>
      </c>
      <c r="E123" s="6">
        <v>45085</v>
      </c>
      <c r="F123" s="6">
        <v>45382</v>
      </c>
      <c r="G123" s="7" t="s">
        <v>38</v>
      </c>
      <c r="H123" s="4" t="s">
        <v>86</v>
      </c>
      <c r="I123" s="4" t="s">
        <v>39</v>
      </c>
      <c r="J123" s="8">
        <v>44712</v>
      </c>
      <c r="K123" s="8" t="s">
        <v>23</v>
      </c>
      <c r="L123" s="5" t="s">
        <v>29</v>
      </c>
      <c r="M123" s="5" t="s">
        <v>24</v>
      </c>
      <c r="N123" s="5">
        <v>7</v>
      </c>
      <c r="O123" s="9">
        <f>YEAR(Table2[[#This Row],[Date of Joining]])</f>
        <v>2023</v>
      </c>
      <c r="P123" s="9" t="str">
        <f t="shared" ca="1" si="1"/>
        <v>2+ years</v>
      </c>
      <c r="S123" t="s">
        <v>231</v>
      </c>
    </row>
    <row r="124" spans="1:19" x14ac:dyDescent="0.3">
      <c r="A124" s="3" t="s">
        <v>16</v>
      </c>
      <c r="B124" s="3"/>
      <c r="C124" s="4">
        <v>167822</v>
      </c>
      <c r="D124" s="5" t="s">
        <v>184</v>
      </c>
      <c r="E124" s="6">
        <v>45106</v>
      </c>
      <c r="F124" s="6"/>
      <c r="G124" s="7" t="s">
        <v>38</v>
      </c>
      <c r="H124" s="4" t="s">
        <v>86</v>
      </c>
      <c r="I124" s="4" t="s">
        <v>22</v>
      </c>
      <c r="J124" s="8">
        <v>44773</v>
      </c>
      <c r="K124" s="8" t="s">
        <v>28</v>
      </c>
      <c r="L124" s="5" t="s">
        <v>97</v>
      </c>
      <c r="M124" s="5" t="s">
        <v>49</v>
      </c>
      <c r="N124" s="5">
        <v>7</v>
      </c>
      <c r="O124" s="9">
        <f>YEAR(Table2[[#This Row],[Date of Joining]])</f>
        <v>2023</v>
      </c>
      <c r="P124" s="9" t="str">
        <f t="shared" ca="1" si="1"/>
        <v>2+ years</v>
      </c>
    </row>
    <row r="125" spans="1:19" x14ac:dyDescent="0.3">
      <c r="A125" s="3" t="s">
        <v>16</v>
      </c>
      <c r="B125" s="3"/>
      <c r="C125" s="4">
        <v>161037</v>
      </c>
      <c r="D125" s="5" t="s">
        <v>185</v>
      </c>
      <c r="E125" s="6">
        <v>45111</v>
      </c>
      <c r="F125" s="6"/>
      <c r="G125" s="7" t="s">
        <v>38</v>
      </c>
      <c r="H125" s="4" t="s">
        <v>86</v>
      </c>
      <c r="I125" s="4" t="s">
        <v>39</v>
      </c>
      <c r="J125" s="8">
        <v>44629</v>
      </c>
      <c r="K125" s="8" t="s">
        <v>23</v>
      </c>
      <c r="L125" s="5" t="s">
        <v>97</v>
      </c>
      <c r="M125" s="5" t="s">
        <v>24</v>
      </c>
      <c r="N125" s="5">
        <v>5</v>
      </c>
      <c r="O125" s="9">
        <f>YEAR(Table2[[#This Row],[Date of Joining]])</f>
        <v>2023</v>
      </c>
      <c r="P125" s="9" t="str">
        <f t="shared" ca="1" si="1"/>
        <v>2+ years</v>
      </c>
    </row>
    <row r="126" spans="1:19" x14ac:dyDescent="0.3">
      <c r="A126" s="3" t="s">
        <v>16</v>
      </c>
      <c r="B126" s="3"/>
      <c r="C126" s="4">
        <v>153255</v>
      </c>
      <c r="D126" s="5" t="s">
        <v>186</v>
      </c>
      <c r="E126" s="6">
        <v>45120</v>
      </c>
      <c r="F126" s="6"/>
      <c r="G126" s="7" t="s">
        <v>38</v>
      </c>
      <c r="H126" s="4" t="s">
        <v>86</v>
      </c>
      <c r="I126" s="4" t="s">
        <v>39</v>
      </c>
      <c r="J126" s="8">
        <v>44590</v>
      </c>
      <c r="K126" s="8" t="s">
        <v>23</v>
      </c>
      <c r="L126" s="5" t="s">
        <v>97</v>
      </c>
      <c r="M126" s="5" t="s">
        <v>35</v>
      </c>
      <c r="N126" s="5">
        <v>3.8</v>
      </c>
      <c r="O126" s="9">
        <f>YEAR(Table2[[#This Row],[Date of Joining]])</f>
        <v>2023</v>
      </c>
      <c r="P126" s="9" t="str">
        <f t="shared" ca="1" si="1"/>
        <v>2+ years</v>
      </c>
    </row>
    <row r="127" spans="1:19" x14ac:dyDescent="0.3">
      <c r="A127" s="3" t="s">
        <v>16</v>
      </c>
      <c r="B127" s="3"/>
      <c r="C127" s="4">
        <v>123179</v>
      </c>
      <c r="D127" s="5" t="s">
        <v>187</v>
      </c>
      <c r="E127" s="6">
        <v>45125</v>
      </c>
      <c r="F127" s="6"/>
      <c r="G127" s="7" t="s">
        <v>38</v>
      </c>
      <c r="H127" s="4" t="s">
        <v>86</v>
      </c>
      <c r="I127" s="4" t="s">
        <v>39</v>
      </c>
      <c r="J127" s="8">
        <v>44612</v>
      </c>
      <c r="K127" s="8" t="s">
        <v>23</v>
      </c>
      <c r="L127" s="5" t="s">
        <v>29</v>
      </c>
      <c r="M127" s="5" t="s">
        <v>49</v>
      </c>
      <c r="N127" s="5">
        <v>6.5</v>
      </c>
      <c r="O127" s="9">
        <f>YEAR(Table2[[#This Row],[Date of Joining]])</f>
        <v>2023</v>
      </c>
      <c r="P127" s="9" t="str">
        <f t="shared" ca="1" si="1"/>
        <v>2+ years</v>
      </c>
    </row>
    <row r="128" spans="1:19" x14ac:dyDescent="0.3">
      <c r="A128" s="3" t="s">
        <v>16</v>
      </c>
      <c r="B128" s="3"/>
      <c r="C128" s="4">
        <v>189554</v>
      </c>
      <c r="D128" s="5" t="s">
        <v>188</v>
      </c>
      <c r="E128" s="6">
        <v>45134</v>
      </c>
      <c r="F128" s="6"/>
      <c r="G128" s="7" t="s">
        <v>38</v>
      </c>
      <c r="H128" s="4" t="s">
        <v>86</v>
      </c>
      <c r="I128" s="4" t="s">
        <v>39</v>
      </c>
      <c r="J128" s="8">
        <v>44766</v>
      </c>
      <c r="K128" s="8" t="s">
        <v>28</v>
      </c>
      <c r="L128" s="5" t="s">
        <v>29</v>
      </c>
      <c r="M128" s="5" t="s">
        <v>49</v>
      </c>
      <c r="N128" s="5">
        <v>8</v>
      </c>
      <c r="O128" s="9">
        <f>YEAR(Table2[[#This Row],[Date of Joining]])</f>
        <v>2023</v>
      </c>
      <c r="P128" s="9" t="str">
        <f t="shared" ca="1" si="1"/>
        <v>2+ years</v>
      </c>
    </row>
    <row r="129" spans="1:16" x14ac:dyDescent="0.3">
      <c r="A129" s="3" t="s">
        <v>16</v>
      </c>
      <c r="B129" s="3"/>
      <c r="C129" s="4">
        <v>186786</v>
      </c>
      <c r="D129" s="5" t="s">
        <v>189</v>
      </c>
      <c r="E129" s="6">
        <v>45139</v>
      </c>
      <c r="F129" s="6"/>
      <c r="G129" s="7" t="s">
        <v>20</v>
      </c>
      <c r="H129" s="4" t="s">
        <v>86</v>
      </c>
      <c r="I129" s="4" t="s">
        <v>39</v>
      </c>
      <c r="J129" s="8">
        <v>44819</v>
      </c>
      <c r="K129" s="8" t="s">
        <v>23</v>
      </c>
      <c r="L129" s="5" t="s">
        <v>97</v>
      </c>
      <c r="M129" s="5" t="s">
        <v>62</v>
      </c>
      <c r="N129" s="5">
        <v>1.5</v>
      </c>
      <c r="O129" s="9">
        <f>YEAR(Table2[[#This Row],[Date of Joining]])</f>
        <v>2023</v>
      </c>
      <c r="P129" s="9" t="str">
        <f t="shared" ca="1" si="1"/>
        <v>2+ years</v>
      </c>
    </row>
    <row r="130" spans="1:16" x14ac:dyDescent="0.3">
      <c r="A130" s="3" t="s">
        <v>16</v>
      </c>
      <c r="B130" s="3"/>
      <c r="C130" s="4">
        <v>186818</v>
      </c>
      <c r="D130" s="5" t="s">
        <v>190</v>
      </c>
      <c r="E130" s="6">
        <v>45141</v>
      </c>
      <c r="F130" s="6"/>
      <c r="G130" s="7" t="s">
        <v>20</v>
      </c>
      <c r="H130" s="4" t="s">
        <v>86</v>
      </c>
      <c r="I130" s="4" t="s">
        <v>22</v>
      </c>
      <c r="J130" s="8">
        <v>44696</v>
      </c>
      <c r="K130" s="8" t="s">
        <v>23</v>
      </c>
      <c r="L130" s="5" t="s">
        <v>29</v>
      </c>
      <c r="M130" s="5" t="s">
        <v>62</v>
      </c>
      <c r="N130" s="5">
        <v>7</v>
      </c>
      <c r="O130" s="9">
        <f>YEAR(Table2[[#This Row],[Date of Joining]])</f>
        <v>2023</v>
      </c>
      <c r="P130" s="9" t="str">
        <f t="shared" ref="P130:P172" ca="1" si="2">IF(DATEDIF(E130,TODAY(),"Y")&gt;=5,"5+ years",
IF(DATEDIF(E130,TODAY(),"Y")&gt;=4,"4+ years",
IF(DATEDIF(E130,TODAY(),"Y")&gt;=3,"3+ years",
IF(DATEDIF(E130,TODAY(),"Y")&gt;=2,"2+ years",
IF(DATEDIF(E130,TODAY(),"Y")&gt;=1,"1+ years","&lt;1 year")))))</f>
        <v>2+ years</v>
      </c>
    </row>
    <row r="131" spans="1:16" x14ac:dyDescent="0.3">
      <c r="A131" s="3" t="s">
        <v>16</v>
      </c>
      <c r="B131" s="3"/>
      <c r="C131" s="4">
        <v>147963</v>
      </c>
      <c r="D131" s="5" t="s">
        <v>191</v>
      </c>
      <c r="E131" s="6">
        <v>45154</v>
      </c>
      <c r="F131" s="6"/>
      <c r="G131" s="7" t="s">
        <v>38</v>
      </c>
      <c r="H131" s="4" t="s">
        <v>86</v>
      </c>
      <c r="I131" s="4" t="s">
        <v>39</v>
      </c>
      <c r="J131" s="8">
        <v>44620</v>
      </c>
      <c r="K131" s="8" t="s">
        <v>28</v>
      </c>
      <c r="L131" s="5" t="s">
        <v>29</v>
      </c>
      <c r="M131" s="5" t="s">
        <v>24</v>
      </c>
      <c r="N131" s="5">
        <v>15</v>
      </c>
      <c r="O131" s="9">
        <f>YEAR(Table2[[#This Row],[Date of Joining]])</f>
        <v>2023</v>
      </c>
      <c r="P131" s="9" t="str">
        <f t="shared" ca="1" si="2"/>
        <v>2+ years</v>
      </c>
    </row>
    <row r="132" spans="1:16" x14ac:dyDescent="0.3">
      <c r="A132" s="3" t="s">
        <v>16</v>
      </c>
      <c r="B132" s="3"/>
      <c r="C132" s="4">
        <v>150614</v>
      </c>
      <c r="D132" s="5" t="s">
        <v>192</v>
      </c>
      <c r="E132" s="6">
        <v>45181</v>
      </c>
      <c r="F132" s="6"/>
      <c r="G132" s="7" t="s">
        <v>38</v>
      </c>
      <c r="H132" s="4" t="s">
        <v>86</v>
      </c>
      <c r="I132" s="4" t="s">
        <v>22</v>
      </c>
      <c r="J132" s="8">
        <v>44830</v>
      </c>
      <c r="K132" s="8" t="s">
        <v>28</v>
      </c>
      <c r="L132" s="5" t="s">
        <v>29</v>
      </c>
      <c r="M132" s="5" t="s">
        <v>44</v>
      </c>
      <c r="N132" s="5">
        <v>10.7</v>
      </c>
      <c r="O132" s="9">
        <f>YEAR(Table2[[#This Row],[Date of Joining]])</f>
        <v>2023</v>
      </c>
      <c r="P132" s="9" t="str">
        <f t="shared" ca="1" si="2"/>
        <v>2+ years</v>
      </c>
    </row>
    <row r="133" spans="1:16" x14ac:dyDescent="0.3">
      <c r="A133" s="3" t="s">
        <v>16</v>
      </c>
      <c r="B133" s="3"/>
      <c r="C133" s="4">
        <v>137151</v>
      </c>
      <c r="D133" s="5" t="s">
        <v>193</v>
      </c>
      <c r="E133" s="6">
        <v>45195</v>
      </c>
      <c r="F133" s="6"/>
      <c r="G133" s="7" t="s">
        <v>57</v>
      </c>
      <c r="H133" s="4" t="s">
        <v>86</v>
      </c>
      <c r="I133" s="4" t="s">
        <v>39</v>
      </c>
      <c r="J133" s="8">
        <v>44917</v>
      </c>
      <c r="K133" s="8" t="s">
        <v>23</v>
      </c>
      <c r="L133" s="5" t="s">
        <v>97</v>
      </c>
      <c r="M133" s="5" t="s">
        <v>62</v>
      </c>
      <c r="N133" s="5">
        <v>2</v>
      </c>
      <c r="O133" s="9">
        <f>YEAR(Table2[[#This Row],[Date of Joining]])</f>
        <v>2023</v>
      </c>
      <c r="P133" s="9" t="str">
        <f t="shared" ca="1" si="2"/>
        <v>2+ years</v>
      </c>
    </row>
    <row r="134" spans="1:16" x14ac:dyDescent="0.3">
      <c r="A134" s="3" t="s">
        <v>16</v>
      </c>
      <c r="B134" s="3" t="s">
        <v>133</v>
      </c>
      <c r="C134" s="4">
        <v>173998</v>
      </c>
      <c r="D134" s="5" t="s">
        <v>194</v>
      </c>
      <c r="E134" s="6">
        <v>45227</v>
      </c>
      <c r="F134" s="6"/>
      <c r="G134" s="7" t="s">
        <v>38</v>
      </c>
      <c r="H134" s="4" t="s">
        <v>86</v>
      </c>
      <c r="I134" s="4" t="s">
        <v>22</v>
      </c>
      <c r="J134" s="8">
        <v>44271</v>
      </c>
      <c r="K134" s="8" t="s">
        <v>23</v>
      </c>
      <c r="L134" s="5" t="s">
        <v>29</v>
      </c>
      <c r="M134" s="5" t="s">
        <v>30</v>
      </c>
      <c r="N134" s="5">
        <v>5.3</v>
      </c>
      <c r="O134" s="9">
        <f>YEAR(Table2[[#This Row],[Date of Joining]])</f>
        <v>2023</v>
      </c>
      <c r="P134" s="9" t="str">
        <f t="shared" ca="1" si="2"/>
        <v>2+ years</v>
      </c>
    </row>
    <row r="135" spans="1:16" x14ac:dyDescent="0.3">
      <c r="A135" s="3" t="s">
        <v>16</v>
      </c>
      <c r="B135" s="3" t="s">
        <v>133</v>
      </c>
      <c r="C135" s="4">
        <v>103925</v>
      </c>
      <c r="D135" s="5" t="s">
        <v>195</v>
      </c>
      <c r="E135" s="6">
        <v>45260</v>
      </c>
      <c r="F135" s="6"/>
      <c r="G135" s="7" t="s">
        <v>38</v>
      </c>
      <c r="H135" s="4" t="s">
        <v>86</v>
      </c>
      <c r="I135" s="4" t="s">
        <v>22</v>
      </c>
      <c r="J135" s="8">
        <v>44328</v>
      </c>
      <c r="K135" s="8" t="s">
        <v>28</v>
      </c>
      <c r="L135" s="5" t="s">
        <v>97</v>
      </c>
      <c r="M135" s="5" t="s">
        <v>40</v>
      </c>
      <c r="N135" s="5">
        <v>4.5</v>
      </c>
      <c r="O135" s="9">
        <f>YEAR(Table2[[#This Row],[Date of Joining]])</f>
        <v>2023</v>
      </c>
      <c r="P135" s="9" t="str">
        <f t="shared" ca="1" si="2"/>
        <v>2+ years</v>
      </c>
    </row>
    <row r="136" spans="1:16" x14ac:dyDescent="0.3">
      <c r="A136" s="3" t="s">
        <v>16</v>
      </c>
      <c r="B136" s="3"/>
      <c r="C136" s="4">
        <v>118694</v>
      </c>
      <c r="D136" s="5" t="s">
        <v>196</v>
      </c>
      <c r="E136" s="6">
        <v>45265</v>
      </c>
      <c r="F136" s="6"/>
      <c r="G136" s="7" t="s">
        <v>38</v>
      </c>
      <c r="H136" s="4" t="s">
        <v>86</v>
      </c>
      <c r="I136" s="4" t="s">
        <v>22</v>
      </c>
      <c r="J136" s="8">
        <v>44581</v>
      </c>
      <c r="K136" s="8" t="s">
        <v>23</v>
      </c>
      <c r="L136" s="5" t="s">
        <v>97</v>
      </c>
      <c r="M136" s="5" t="s">
        <v>40</v>
      </c>
      <c r="N136" s="5">
        <v>3.5</v>
      </c>
      <c r="O136" s="9">
        <f>YEAR(Table2[[#This Row],[Date of Joining]])</f>
        <v>2023</v>
      </c>
      <c r="P136" s="9" t="str">
        <f t="shared" ca="1" si="2"/>
        <v>2+ years</v>
      </c>
    </row>
    <row r="137" spans="1:16" x14ac:dyDescent="0.3">
      <c r="A137" s="3" t="s">
        <v>16</v>
      </c>
      <c r="B137" s="3"/>
      <c r="C137" s="4">
        <v>195849</v>
      </c>
      <c r="D137" s="5" t="s">
        <v>197</v>
      </c>
      <c r="E137" s="6">
        <v>45265</v>
      </c>
      <c r="F137" s="6"/>
      <c r="G137" s="7" t="s">
        <v>38</v>
      </c>
      <c r="H137" s="4" t="s">
        <v>86</v>
      </c>
      <c r="I137" s="4" t="s">
        <v>39</v>
      </c>
      <c r="J137" s="8">
        <v>44786</v>
      </c>
      <c r="K137" s="8" t="s">
        <v>23</v>
      </c>
      <c r="L137" s="5" t="s">
        <v>97</v>
      </c>
      <c r="M137" s="5" t="s">
        <v>40</v>
      </c>
      <c r="N137" s="5">
        <v>1.5</v>
      </c>
      <c r="O137" s="9">
        <f>YEAR(Table2[[#This Row],[Date of Joining]])</f>
        <v>2023</v>
      </c>
      <c r="P137" s="9" t="str">
        <f t="shared" ca="1" si="2"/>
        <v>2+ years</v>
      </c>
    </row>
    <row r="138" spans="1:16" x14ac:dyDescent="0.3">
      <c r="A138" s="3" t="s">
        <v>16</v>
      </c>
      <c r="B138" s="3"/>
      <c r="C138" s="4">
        <v>182665</v>
      </c>
      <c r="D138" s="5" t="s">
        <v>198</v>
      </c>
      <c r="E138" s="6">
        <v>45267</v>
      </c>
      <c r="F138" s="6"/>
      <c r="G138" s="7" t="s">
        <v>38</v>
      </c>
      <c r="H138" s="4" t="s">
        <v>86</v>
      </c>
      <c r="I138" s="4" t="s">
        <v>39</v>
      </c>
      <c r="J138" s="8">
        <v>44622</v>
      </c>
      <c r="K138" s="8" t="s">
        <v>28</v>
      </c>
      <c r="L138" s="5" t="s">
        <v>29</v>
      </c>
      <c r="M138" s="5" t="s">
        <v>35</v>
      </c>
      <c r="N138" s="5">
        <v>10.9</v>
      </c>
      <c r="O138" s="9">
        <f>YEAR(Table2[[#This Row],[Date of Joining]])</f>
        <v>2023</v>
      </c>
      <c r="P138" s="9" t="str">
        <f t="shared" ca="1" si="2"/>
        <v>2+ years</v>
      </c>
    </row>
    <row r="139" spans="1:16" x14ac:dyDescent="0.3">
      <c r="A139" s="3" t="s">
        <v>16</v>
      </c>
      <c r="B139" s="3"/>
      <c r="C139" s="4">
        <v>151067</v>
      </c>
      <c r="D139" s="5" t="s">
        <v>52</v>
      </c>
      <c r="E139" s="6">
        <v>45272</v>
      </c>
      <c r="F139" s="6"/>
      <c r="G139" s="5" t="s">
        <v>43</v>
      </c>
      <c r="H139" s="4" t="s">
        <v>86</v>
      </c>
      <c r="I139" s="4" t="s">
        <v>39</v>
      </c>
      <c r="J139" s="8">
        <v>44764</v>
      </c>
      <c r="K139" s="8" t="s">
        <v>28</v>
      </c>
      <c r="L139" s="5" t="s">
        <v>97</v>
      </c>
      <c r="M139" s="5" t="s">
        <v>49</v>
      </c>
      <c r="N139" s="5">
        <v>2.8</v>
      </c>
      <c r="O139" s="9">
        <f>YEAR(Table2[[#This Row],[Date of Joining]])</f>
        <v>2023</v>
      </c>
      <c r="P139" s="9" t="str">
        <f t="shared" ca="1" si="2"/>
        <v>2+ years</v>
      </c>
    </row>
    <row r="140" spans="1:16" x14ac:dyDescent="0.3">
      <c r="A140" s="3" t="s">
        <v>16</v>
      </c>
      <c r="B140" s="3" t="s">
        <v>133</v>
      </c>
      <c r="C140" s="4">
        <v>188212</v>
      </c>
      <c r="D140" s="5" t="s">
        <v>199</v>
      </c>
      <c r="E140" s="6">
        <v>45274</v>
      </c>
      <c r="F140" s="6"/>
      <c r="G140" s="7" t="s">
        <v>38</v>
      </c>
      <c r="H140" s="4" t="s">
        <v>86</v>
      </c>
      <c r="I140" s="4" t="s">
        <v>22</v>
      </c>
      <c r="J140" s="8">
        <v>44542</v>
      </c>
      <c r="K140" s="8" t="s">
        <v>28</v>
      </c>
      <c r="L140" s="5" t="s">
        <v>29</v>
      </c>
      <c r="M140" s="5" t="s">
        <v>35</v>
      </c>
      <c r="N140" s="5">
        <v>7.5</v>
      </c>
      <c r="O140" s="9">
        <f>YEAR(Table2[[#This Row],[Date of Joining]])</f>
        <v>2023</v>
      </c>
      <c r="P140" s="9" t="str">
        <f t="shared" ca="1" si="2"/>
        <v>2+ years</v>
      </c>
    </row>
    <row r="141" spans="1:16" x14ac:dyDescent="0.3">
      <c r="A141" s="3" t="s">
        <v>16</v>
      </c>
      <c r="B141" s="3" t="s">
        <v>133</v>
      </c>
      <c r="C141" s="4">
        <v>188527</v>
      </c>
      <c r="D141" s="5" t="s">
        <v>200</v>
      </c>
      <c r="E141" s="6">
        <v>45274</v>
      </c>
      <c r="F141" s="6"/>
      <c r="G141" s="7" t="s">
        <v>38</v>
      </c>
      <c r="H141" s="4" t="s">
        <v>86</v>
      </c>
      <c r="I141" s="4" t="s">
        <v>39</v>
      </c>
      <c r="J141" s="8">
        <v>44701</v>
      </c>
      <c r="K141" s="8" t="s">
        <v>23</v>
      </c>
      <c r="L141" s="5" t="s">
        <v>97</v>
      </c>
      <c r="M141" s="5" t="s">
        <v>40</v>
      </c>
      <c r="N141" s="5">
        <v>10</v>
      </c>
      <c r="O141" s="9">
        <f>YEAR(Table2[[#This Row],[Date of Joining]])</f>
        <v>2023</v>
      </c>
      <c r="P141" s="9" t="str">
        <f t="shared" ca="1" si="2"/>
        <v>2+ years</v>
      </c>
    </row>
    <row r="142" spans="1:16" x14ac:dyDescent="0.3">
      <c r="A142" s="3" t="s">
        <v>16</v>
      </c>
      <c r="B142" s="3"/>
      <c r="C142" s="4">
        <v>151539</v>
      </c>
      <c r="D142" s="5" t="s">
        <v>201</v>
      </c>
      <c r="E142" s="6">
        <v>45279</v>
      </c>
      <c r="F142" s="6"/>
      <c r="G142" s="7" t="s">
        <v>38</v>
      </c>
      <c r="H142" s="4" t="s">
        <v>86</v>
      </c>
      <c r="I142" s="4" t="s">
        <v>39</v>
      </c>
      <c r="J142" s="8">
        <v>44613</v>
      </c>
      <c r="K142" s="8" t="s">
        <v>23</v>
      </c>
      <c r="L142" s="5" t="s">
        <v>97</v>
      </c>
      <c r="M142" s="5" t="s">
        <v>40</v>
      </c>
      <c r="N142" s="5">
        <v>0</v>
      </c>
      <c r="O142" s="9">
        <f>YEAR(Table2[[#This Row],[Date of Joining]])</f>
        <v>2023</v>
      </c>
      <c r="P142" s="9" t="str">
        <f t="shared" ca="1" si="2"/>
        <v>2+ years</v>
      </c>
    </row>
    <row r="143" spans="1:16" x14ac:dyDescent="0.3">
      <c r="A143" s="3" t="s">
        <v>16</v>
      </c>
      <c r="B143" s="3"/>
      <c r="C143" s="4">
        <v>148895</v>
      </c>
      <c r="D143" s="5" t="s">
        <v>202</v>
      </c>
      <c r="E143" s="6">
        <v>45288</v>
      </c>
      <c r="F143" s="6"/>
      <c r="G143" s="5" t="s">
        <v>43</v>
      </c>
      <c r="H143" s="4" t="s">
        <v>86</v>
      </c>
      <c r="I143" s="4" t="s">
        <v>39</v>
      </c>
      <c r="J143" s="8">
        <v>44668</v>
      </c>
      <c r="K143" s="8" t="s">
        <v>23</v>
      </c>
      <c r="L143" s="5" t="s">
        <v>97</v>
      </c>
      <c r="M143" s="5" t="s">
        <v>49</v>
      </c>
      <c r="N143" s="5">
        <v>0</v>
      </c>
      <c r="O143" s="9">
        <f>YEAR(Table2[[#This Row],[Date of Joining]])</f>
        <v>2023</v>
      </c>
      <c r="P143" s="9" t="str">
        <f t="shared" ca="1" si="2"/>
        <v>2+ years</v>
      </c>
    </row>
    <row r="144" spans="1:16" x14ac:dyDescent="0.3">
      <c r="A144" s="3" t="s">
        <v>16</v>
      </c>
      <c r="B144" s="3" t="s">
        <v>133</v>
      </c>
      <c r="C144" s="4">
        <v>114477</v>
      </c>
      <c r="D144" s="5" t="s">
        <v>203</v>
      </c>
      <c r="E144" s="6">
        <v>45295</v>
      </c>
      <c r="F144" s="6"/>
      <c r="G144" s="7" t="s">
        <v>38</v>
      </c>
      <c r="H144" s="4" t="s">
        <v>86</v>
      </c>
      <c r="I144" s="4" t="s">
        <v>22</v>
      </c>
      <c r="J144" s="8">
        <v>44386</v>
      </c>
      <c r="K144" s="8" t="s">
        <v>23</v>
      </c>
      <c r="L144" s="5" t="s">
        <v>97</v>
      </c>
      <c r="M144" s="5" t="s">
        <v>40</v>
      </c>
      <c r="N144" s="5">
        <v>1.6</v>
      </c>
      <c r="O144" s="9">
        <f>YEAR(Table2[[#This Row],[Date of Joining]])</f>
        <v>2024</v>
      </c>
      <c r="P144" s="9" t="str">
        <f t="shared" ca="1" si="2"/>
        <v>2+ years</v>
      </c>
    </row>
    <row r="145" spans="1:16" x14ac:dyDescent="0.3">
      <c r="A145" s="3" t="s">
        <v>16</v>
      </c>
      <c r="B145" s="3"/>
      <c r="C145" s="4">
        <v>170085</v>
      </c>
      <c r="D145" s="5" t="s">
        <v>204</v>
      </c>
      <c r="E145" s="6">
        <v>45302</v>
      </c>
      <c r="F145" s="6"/>
      <c r="G145" s="7" t="s">
        <v>38</v>
      </c>
      <c r="H145" s="4" t="s">
        <v>86</v>
      </c>
      <c r="I145" s="4" t="s">
        <v>22</v>
      </c>
      <c r="J145" s="8">
        <v>45144</v>
      </c>
      <c r="K145" s="8" t="s">
        <v>23</v>
      </c>
      <c r="L145" s="5" t="s">
        <v>97</v>
      </c>
      <c r="M145" s="5" t="s">
        <v>40</v>
      </c>
      <c r="N145" s="5">
        <v>3.5</v>
      </c>
      <c r="O145" s="9">
        <f>YEAR(Table2[[#This Row],[Date of Joining]])</f>
        <v>2024</v>
      </c>
      <c r="P145" s="9" t="str">
        <f t="shared" ca="1" si="2"/>
        <v>2+ years</v>
      </c>
    </row>
    <row r="146" spans="1:16" x14ac:dyDescent="0.3">
      <c r="A146" s="3" t="s">
        <v>16</v>
      </c>
      <c r="B146" s="3"/>
      <c r="C146" s="4">
        <v>148355</v>
      </c>
      <c r="D146" s="5" t="s">
        <v>205</v>
      </c>
      <c r="E146" s="6">
        <v>45302</v>
      </c>
      <c r="F146" s="6"/>
      <c r="G146" s="7" t="s">
        <v>20</v>
      </c>
      <c r="H146" s="4" t="s">
        <v>86</v>
      </c>
      <c r="I146" s="4" t="s">
        <v>22</v>
      </c>
      <c r="J146" s="8">
        <v>44433</v>
      </c>
      <c r="K146" s="8" t="s">
        <v>23</v>
      </c>
      <c r="L146" s="5" t="s">
        <v>97</v>
      </c>
      <c r="M146" s="5" t="s">
        <v>49</v>
      </c>
      <c r="N146" s="5">
        <v>14</v>
      </c>
      <c r="O146" s="9">
        <f>YEAR(Table2[[#This Row],[Date of Joining]])</f>
        <v>2024</v>
      </c>
      <c r="P146" s="9" t="str">
        <f t="shared" ca="1" si="2"/>
        <v>2+ years</v>
      </c>
    </row>
    <row r="147" spans="1:16" x14ac:dyDescent="0.3">
      <c r="A147" s="3" t="s">
        <v>16</v>
      </c>
      <c r="B147" s="3"/>
      <c r="C147" s="4">
        <v>132724</v>
      </c>
      <c r="D147" s="5" t="s">
        <v>206</v>
      </c>
      <c r="E147" s="6">
        <v>45314</v>
      </c>
      <c r="F147" s="6"/>
      <c r="G147" s="5" t="s">
        <v>52</v>
      </c>
      <c r="H147" s="4" t="s">
        <v>86</v>
      </c>
      <c r="I147" s="4" t="s">
        <v>22</v>
      </c>
      <c r="J147" s="8">
        <v>45021</v>
      </c>
      <c r="K147" s="8" t="s">
        <v>23</v>
      </c>
      <c r="L147" s="5" t="s">
        <v>97</v>
      </c>
      <c r="M147" s="5" t="s">
        <v>40</v>
      </c>
      <c r="N147" s="5">
        <v>0.6</v>
      </c>
      <c r="O147" s="9">
        <f>YEAR(Table2[[#This Row],[Date of Joining]])</f>
        <v>2024</v>
      </c>
      <c r="P147" s="9" t="str">
        <f t="shared" ca="1" si="2"/>
        <v>2+ years</v>
      </c>
    </row>
    <row r="148" spans="1:16" x14ac:dyDescent="0.3">
      <c r="A148" s="3" t="s">
        <v>16</v>
      </c>
      <c r="B148" s="3"/>
      <c r="C148" s="4">
        <v>136024</v>
      </c>
      <c r="D148" s="5" t="s">
        <v>207</v>
      </c>
      <c r="E148" s="6">
        <v>45314</v>
      </c>
      <c r="F148" s="6"/>
      <c r="G148" s="7" t="s">
        <v>57</v>
      </c>
      <c r="H148" s="4" t="s">
        <v>86</v>
      </c>
      <c r="I148" s="4" t="s">
        <v>22</v>
      </c>
      <c r="J148" s="8">
        <v>44524</v>
      </c>
      <c r="K148" s="8" t="s">
        <v>23</v>
      </c>
      <c r="L148" s="5" t="s">
        <v>89</v>
      </c>
      <c r="M148" s="5" t="s">
        <v>49</v>
      </c>
      <c r="N148" s="5">
        <v>14</v>
      </c>
      <c r="O148" s="9">
        <f>YEAR(Table2[[#This Row],[Date of Joining]])</f>
        <v>2024</v>
      </c>
      <c r="P148" s="9" t="str">
        <f t="shared" ca="1" si="2"/>
        <v>2+ years</v>
      </c>
    </row>
    <row r="149" spans="1:16" x14ac:dyDescent="0.3">
      <c r="A149" s="3" t="s">
        <v>16</v>
      </c>
      <c r="B149" s="3" t="s">
        <v>133</v>
      </c>
      <c r="C149" s="4">
        <v>186654</v>
      </c>
      <c r="D149" s="5" t="s">
        <v>208</v>
      </c>
      <c r="E149" s="6">
        <v>45323</v>
      </c>
      <c r="F149" s="6"/>
      <c r="G149" s="7" t="s">
        <v>38</v>
      </c>
      <c r="H149" s="4" t="s">
        <v>86</v>
      </c>
      <c r="I149" s="4" t="s">
        <v>39</v>
      </c>
      <c r="J149" s="8">
        <v>44708</v>
      </c>
      <c r="K149" s="8" t="s">
        <v>23</v>
      </c>
      <c r="L149" s="5" t="s">
        <v>97</v>
      </c>
      <c r="M149" s="5" t="s">
        <v>49</v>
      </c>
      <c r="N149" s="5">
        <v>3.3</v>
      </c>
      <c r="O149" s="9">
        <f>YEAR(Table2[[#This Row],[Date of Joining]])</f>
        <v>2024</v>
      </c>
      <c r="P149" s="9" t="str">
        <f t="shared" ca="1" si="2"/>
        <v>2+ years</v>
      </c>
    </row>
    <row r="150" spans="1:16" x14ac:dyDescent="0.3">
      <c r="A150" s="3" t="s">
        <v>16</v>
      </c>
      <c r="B150" s="3"/>
      <c r="C150" s="4">
        <v>140505</v>
      </c>
      <c r="D150" s="5" t="s">
        <v>209</v>
      </c>
      <c r="E150" s="6">
        <v>45323</v>
      </c>
      <c r="F150" s="6"/>
      <c r="G150" s="7" t="s">
        <v>20</v>
      </c>
      <c r="H150" s="4" t="s">
        <v>86</v>
      </c>
      <c r="I150" s="4" t="s">
        <v>39</v>
      </c>
      <c r="J150" s="8">
        <v>44504</v>
      </c>
      <c r="K150" s="8" t="s">
        <v>23</v>
      </c>
      <c r="L150" s="5" t="s">
        <v>97</v>
      </c>
      <c r="M150" s="5" t="s">
        <v>49</v>
      </c>
      <c r="N150" s="5">
        <v>13</v>
      </c>
      <c r="O150" s="9">
        <f>YEAR(Table2[[#This Row],[Date of Joining]])</f>
        <v>2024</v>
      </c>
      <c r="P150" s="9" t="str">
        <f t="shared" ca="1" si="2"/>
        <v>2+ years</v>
      </c>
    </row>
    <row r="151" spans="1:16" x14ac:dyDescent="0.3">
      <c r="A151" s="3" t="s">
        <v>16</v>
      </c>
      <c r="B151" s="3"/>
      <c r="C151" s="4">
        <v>166500</v>
      </c>
      <c r="D151" s="5" t="s">
        <v>210</v>
      </c>
      <c r="E151" s="6">
        <v>45328</v>
      </c>
      <c r="F151" s="6"/>
      <c r="G151" s="7" t="s">
        <v>38</v>
      </c>
      <c r="H151" s="4" t="s">
        <v>86</v>
      </c>
      <c r="I151" s="4" t="s">
        <v>39</v>
      </c>
      <c r="J151" s="8">
        <v>44906</v>
      </c>
      <c r="K151" s="8" t="s">
        <v>23</v>
      </c>
      <c r="L151" s="5" t="s">
        <v>97</v>
      </c>
      <c r="M151" s="5" t="s">
        <v>35</v>
      </c>
      <c r="N151" s="5">
        <v>1.5</v>
      </c>
      <c r="O151" s="9">
        <f>YEAR(Table2[[#This Row],[Date of Joining]])</f>
        <v>2024</v>
      </c>
      <c r="P151" s="9" t="str">
        <f t="shared" ca="1" si="2"/>
        <v>2+ years</v>
      </c>
    </row>
    <row r="152" spans="1:16" x14ac:dyDescent="0.3">
      <c r="A152" s="3" t="s">
        <v>16</v>
      </c>
      <c r="B152" s="3" t="s">
        <v>133</v>
      </c>
      <c r="C152" s="4">
        <v>196256</v>
      </c>
      <c r="D152" s="5" t="s">
        <v>211</v>
      </c>
      <c r="E152" s="6">
        <v>45366</v>
      </c>
      <c r="F152" s="6"/>
      <c r="G152" s="7" t="s">
        <v>38</v>
      </c>
      <c r="H152" s="4" t="s">
        <v>86</v>
      </c>
      <c r="I152" s="4" t="s">
        <v>39</v>
      </c>
      <c r="J152" s="8">
        <v>44319</v>
      </c>
      <c r="K152" s="8" t="s">
        <v>28</v>
      </c>
      <c r="L152" s="5" t="s">
        <v>97</v>
      </c>
      <c r="M152" s="5" t="s">
        <v>49</v>
      </c>
      <c r="N152" s="5">
        <v>3</v>
      </c>
      <c r="O152" s="9">
        <f>YEAR(Table2[[#This Row],[Date of Joining]])</f>
        <v>2024</v>
      </c>
      <c r="P152" s="9" t="str">
        <f t="shared" ca="1" si="2"/>
        <v>2+ years</v>
      </c>
    </row>
    <row r="153" spans="1:16" x14ac:dyDescent="0.3">
      <c r="A153" s="3" t="s">
        <v>16</v>
      </c>
      <c r="B153" s="3"/>
      <c r="C153" s="4">
        <v>107622</v>
      </c>
      <c r="D153" s="5" t="s">
        <v>212</v>
      </c>
      <c r="E153" s="6">
        <v>45366</v>
      </c>
      <c r="F153" s="6"/>
      <c r="G153" s="7" t="s">
        <v>57</v>
      </c>
      <c r="H153" s="4" t="s">
        <v>86</v>
      </c>
      <c r="I153" s="4" t="s">
        <v>39</v>
      </c>
      <c r="J153" s="8">
        <v>44314</v>
      </c>
      <c r="K153" s="8" t="s">
        <v>23</v>
      </c>
      <c r="L153" s="5" t="s">
        <v>29</v>
      </c>
      <c r="M153" s="5" t="s">
        <v>49</v>
      </c>
      <c r="N153" s="5">
        <v>13</v>
      </c>
      <c r="O153" s="9">
        <f>YEAR(Table2[[#This Row],[Date of Joining]])</f>
        <v>2024</v>
      </c>
      <c r="P153" s="9" t="str">
        <f t="shared" ca="1" si="2"/>
        <v>2+ years</v>
      </c>
    </row>
    <row r="154" spans="1:16" x14ac:dyDescent="0.3">
      <c r="A154" s="3" t="s">
        <v>16</v>
      </c>
      <c r="B154" s="3"/>
      <c r="C154" s="4">
        <v>140845</v>
      </c>
      <c r="D154" s="5" t="s">
        <v>213</v>
      </c>
      <c r="E154" s="6">
        <v>45374</v>
      </c>
      <c r="F154" s="6"/>
      <c r="G154" s="5" t="s">
        <v>43</v>
      </c>
      <c r="H154" s="4" t="s">
        <v>86</v>
      </c>
      <c r="I154" s="4" t="s">
        <v>22</v>
      </c>
      <c r="J154" s="8">
        <v>45081</v>
      </c>
      <c r="K154" s="8" t="s">
        <v>23</v>
      </c>
      <c r="L154" s="5" t="s">
        <v>29</v>
      </c>
      <c r="M154" s="5" t="s">
        <v>49</v>
      </c>
      <c r="N154" s="5">
        <v>10</v>
      </c>
      <c r="O154" s="9">
        <f>YEAR(Table2[[#This Row],[Date of Joining]])</f>
        <v>2024</v>
      </c>
      <c r="P154" s="9" t="str">
        <f t="shared" ca="1" si="2"/>
        <v>2+ years</v>
      </c>
    </row>
    <row r="155" spans="1:16" x14ac:dyDescent="0.3">
      <c r="A155" s="3" t="s">
        <v>16</v>
      </c>
      <c r="B155" s="3"/>
      <c r="C155" s="4">
        <v>196163</v>
      </c>
      <c r="D155" s="5" t="s">
        <v>214</v>
      </c>
      <c r="E155" s="6">
        <v>45374</v>
      </c>
      <c r="F155" s="6"/>
      <c r="G155" s="5" t="s">
        <v>52</v>
      </c>
      <c r="H155" s="4" t="s">
        <v>86</v>
      </c>
      <c r="I155" s="4" t="s">
        <v>22</v>
      </c>
      <c r="J155" s="8">
        <v>44911</v>
      </c>
      <c r="K155" s="8" t="s">
        <v>23</v>
      </c>
      <c r="L155" s="5" t="s">
        <v>97</v>
      </c>
      <c r="M155" s="5" t="s">
        <v>49</v>
      </c>
      <c r="N155" s="5">
        <v>6.8</v>
      </c>
      <c r="O155" s="9">
        <f>YEAR(Table2[[#This Row],[Date of Joining]])</f>
        <v>2024</v>
      </c>
      <c r="P155" s="9" t="str">
        <f t="shared" ca="1" si="2"/>
        <v>2+ years</v>
      </c>
    </row>
    <row r="156" spans="1:16" x14ac:dyDescent="0.3">
      <c r="A156" s="3" t="s">
        <v>16</v>
      </c>
      <c r="B156" s="3"/>
      <c r="C156" s="4">
        <v>143527</v>
      </c>
      <c r="D156" s="5" t="s">
        <v>215</v>
      </c>
      <c r="E156" s="6">
        <v>45374</v>
      </c>
      <c r="F156" s="6"/>
      <c r="G156" s="7" t="s">
        <v>20</v>
      </c>
      <c r="H156" s="4" t="s">
        <v>86</v>
      </c>
      <c r="I156" s="4" t="s">
        <v>22</v>
      </c>
      <c r="J156" s="8">
        <v>44241</v>
      </c>
      <c r="K156" s="8" t="s">
        <v>28</v>
      </c>
      <c r="L156" s="5" t="s">
        <v>89</v>
      </c>
      <c r="M156" s="5" t="s">
        <v>40</v>
      </c>
      <c r="N156" s="5">
        <v>7</v>
      </c>
      <c r="O156" s="9">
        <f>YEAR(Table2[[#This Row],[Date of Joining]])</f>
        <v>2024</v>
      </c>
      <c r="P156" s="9" t="str">
        <f t="shared" ca="1" si="2"/>
        <v>2+ years</v>
      </c>
    </row>
    <row r="157" spans="1:16" x14ac:dyDescent="0.3">
      <c r="A157" s="3" t="s">
        <v>16</v>
      </c>
      <c r="B157" s="3"/>
      <c r="C157" s="4">
        <v>121781</v>
      </c>
      <c r="D157" s="5" t="s">
        <v>216</v>
      </c>
      <c r="E157" s="6">
        <v>45374</v>
      </c>
      <c r="F157" s="6"/>
      <c r="G157" s="7" t="s">
        <v>20</v>
      </c>
      <c r="H157" s="4" t="s">
        <v>86</v>
      </c>
      <c r="I157" s="4" t="s">
        <v>22</v>
      </c>
      <c r="J157" s="8">
        <v>44266</v>
      </c>
      <c r="K157" s="8" t="s">
        <v>23</v>
      </c>
      <c r="L157" s="5" t="s">
        <v>89</v>
      </c>
      <c r="M157" s="5" t="s">
        <v>40</v>
      </c>
      <c r="N157" s="5">
        <v>13</v>
      </c>
      <c r="O157" s="9">
        <f>YEAR(Table2[[#This Row],[Date of Joining]])</f>
        <v>2024</v>
      </c>
      <c r="P157" s="9" t="str">
        <f t="shared" ca="1" si="2"/>
        <v>2+ years</v>
      </c>
    </row>
    <row r="158" spans="1:16" x14ac:dyDescent="0.3">
      <c r="A158" s="3" t="s">
        <v>16</v>
      </c>
      <c r="B158" s="3" t="s">
        <v>133</v>
      </c>
      <c r="C158" s="4">
        <v>190716</v>
      </c>
      <c r="D158" s="5" t="s">
        <v>217</v>
      </c>
      <c r="E158" s="6">
        <v>45385</v>
      </c>
      <c r="F158" s="6"/>
      <c r="G158" s="5" t="s">
        <v>43</v>
      </c>
      <c r="H158" s="4" t="s">
        <v>86</v>
      </c>
      <c r="I158" s="4" t="s">
        <v>39</v>
      </c>
      <c r="J158" s="8">
        <v>44362</v>
      </c>
      <c r="K158" s="8" t="s">
        <v>28</v>
      </c>
      <c r="L158" s="5" t="s">
        <v>97</v>
      </c>
      <c r="M158" s="5" t="s">
        <v>40</v>
      </c>
      <c r="N158" s="5">
        <v>4</v>
      </c>
      <c r="O158" s="9">
        <f>YEAR(Table2[[#This Row],[Date of Joining]])</f>
        <v>2024</v>
      </c>
      <c r="P158" s="9" t="str">
        <f t="shared" ca="1" si="2"/>
        <v>2+ years</v>
      </c>
    </row>
    <row r="159" spans="1:16" x14ac:dyDescent="0.3">
      <c r="A159" s="3" t="s">
        <v>16</v>
      </c>
      <c r="B159" s="3"/>
      <c r="C159" s="4">
        <v>131453</v>
      </c>
      <c r="D159" s="5" t="s">
        <v>218</v>
      </c>
      <c r="E159" s="6">
        <v>45385</v>
      </c>
      <c r="F159" s="6"/>
      <c r="G159" s="7" t="s">
        <v>57</v>
      </c>
      <c r="H159" s="4" t="s">
        <v>86</v>
      </c>
      <c r="I159" s="4" t="s">
        <v>22</v>
      </c>
      <c r="J159" s="8">
        <v>44940</v>
      </c>
      <c r="K159" s="8" t="s">
        <v>23</v>
      </c>
      <c r="L159" s="5" t="s">
        <v>97</v>
      </c>
      <c r="M159" s="5" t="s">
        <v>24</v>
      </c>
      <c r="N159" s="5">
        <v>8</v>
      </c>
      <c r="O159" s="9">
        <f>YEAR(Table2[[#This Row],[Date of Joining]])</f>
        <v>2024</v>
      </c>
      <c r="P159" s="9" t="str">
        <f t="shared" ca="1" si="2"/>
        <v>2+ years</v>
      </c>
    </row>
    <row r="160" spans="1:16" x14ac:dyDescent="0.3">
      <c r="A160" s="3" t="s">
        <v>16</v>
      </c>
      <c r="B160" s="3"/>
      <c r="C160" s="4">
        <v>133611</v>
      </c>
      <c r="D160" s="5" t="s">
        <v>219</v>
      </c>
      <c r="E160" s="6">
        <v>45401</v>
      </c>
      <c r="F160" s="6"/>
      <c r="G160" s="7" t="s">
        <v>57</v>
      </c>
      <c r="H160" s="4" t="s">
        <v>86</v>
      </c>
      <c r="I160" s="4" t="s">
        <v>39</v>
      </c>
      <c r="J160" s="8">
        <v>36300</v>
      </c>
      <c r="K160" s="8" t="s">
        <v>23</v>
      </c>
      <c r="L160" s="5" t="s">
        <v>97</v>
      </c>
      <c r="M160" s="5" t="s">
        <v>62</v>
      </c>
      <c r="N160" s="5">
        <v>0</v>
      </c>
      <c r="O160" s="9">
        <f>YEAR(Table2[[#This Row],[Date of Joining]])</f>
        <v>2024</v>
      </c>
      <c r="P160" s="9" t="str">
        <f t="shared" ca="1" si="2"/>
        <v>2+ years</v>
      </c>
    </row>
    <row r="161" spans="1:16" x14ac:dyDescent="0.3">
      <c r="A161" s="3" t="s">
        <v>16</v>
      </c>
      <c r="B161" s="3"/>
      <c r="C161" s="4">
        <v>158773</v>
      </c>
      <c r="D161" s="5" t="s">
        <v>220</v>
      </c>
      <c r="E161" s="6">
        <v>45427</v>
      </c>
      <c r="F161" s="6"/>
      <c r="G161" s="5" t="s">
        <v>43</v>
      </c>
      <c r="H161" s="4" t="s">
        <v>86</v>
      </c>
      <c r="I161" s="4" t="s">
        <v>22</v>
      </c>
      <c r="J161" s="8">
        <v>45073</v>
      </c>
      <c r="K161" s="8" t="s">
        <v>23</v>
      </c>
      <c r="L161" s="5" t="s">
        <v>97</v>
      </c>
      <c r="M161" s="5" t="s">
        <v>40</v>
      </c>
      <c r="N161" s="5">
        <v>3</v>
      </c>
      <c r="O161" s="9">
        <f>YEAR(Table2[[#This Row],[Date of Joining]])</f>
        <v>2024</v>
      </c>
      <c r="P161" s="9" t="str">
        <f t="shared" ca="1" si="2"/>
        <v>2+ years</v>
      </c>
    </row>
    <row r="162" spans="1:16" x14ac:dyDescent="0.3">
      <c r="A162" s="3" t="s">
        <v>16</v>
      </c>
      <c r="B162" s="3"/>
      <c r="C162" s="4">
        <v>109333</v>
      </c>
      <c r="D162" s="5" t="s">
        <v>221</v>
      </c>
      <c r="E162" s="6">
        <v>45434</v>
      </c>
      <c r="F162" s="6"/>
      <c r="G162" s="7" t="s">
        <v>38</v>
      </c>
      <c r="H162" s="4" t="s">
        <v>86</v>
      </c>
      <c r="I162" s="4" t="s">
        <v>22</v>
      </c>
      <c r="J162" s="8">
        <v>45142</v>
      </c>
      <c r="K162" s="8" t="s">
        <v>28</v>
      </c>
      <c r="L162" s="5" t="s">
        <v>29</v>
      </c>
      <c r="M162" s="5" t="s">
        <v>35</v>
      </c>
      <c r="N162" s="5">
        <v>10</v>
      </c>
      <c r="O162" s="9">
        <f>YEAR(Table2[[#This Row],[Date of Joining]])</f>
        <v>2024</v>
      </c>
      <c r="P162" s="9" t="str">
        <f t="shared" ca="1" si="2"/>
        <v>2+ years</v>
      </c>
    </row>
    <row r="163" spans="1:16" x14ac:dyDescent="0.3">
      <c r="A163" s="3" t="s">
        <v>16</v>
      </c>
      <c r="B163" s="3"/>
      <c r="C163" s="4">
        <v>165233</v>
      </c>
      <c r="D163" s="5" t="s">
        <v>222</v>
      </c>
      <c r="E163" s="6">
        <v>45455</v>
      </c>
      <c r="F163" s="6"/>
      <c r="G163" s="7" t="s">
        <v>38</v>
      </c>
      <c r="H163" s="4" t="s">
        <v>86</v>
      </c>
      <c r="I163" s="4" t="s">
        <v>22</v>
      </c>
      <c r="J163" s="8">
        <v>45022</v>
      </c>
      <c r="K163" s="8" t="s">
        <v>23</v>
      </c>
      <c r="L163" s="5" t="s">
        <v>97</v>
      </c>
      <c r="M163" s="5" t="s">
        <v>40</v>
      </c>
      <c r="N163" s="5">
        <v>1.2</v>
      </c>
      <c r="O163" s="9">
        <f>YEAR(Table2[[#This Row],[Date of Joining]])</f>
        <v>2024</v>
      </c>
      <c r="P163" s="9" t="str">
        <f t="shared" ca="1" si="2"/>
        <v>1+ years</v>
      </c>
    </row>
    <row r="164" spans="1:16" x14ac:dyDescent="0.3">
      <c r="A164" s="3" t="s">
        <v>16</v>
      </c>
      <c r="B164" s="3" t="s">
        <v>133</v>
      </c>
      <c r="C164" s="4">
        <v>103360</v>
      </c>
      <c r="D164" s="5" t="s">
        <v>223</v>
      </c>
      <c r="E164" s="6">
        <v>45569</v>
      </c>
      <c r="F164" s="6"/>
      <c r="G164" s="7" t="s">
        <v>38</v>
      </c>
      <c r="H164" s="4" t="s">
        <v>86</v>
      </c>
      <c r="I164" s="4" t="s">
        <v>39</v>
      </c>
      <c r="J164" s="8">
        <v>36982</v>
      </c>
      <c r="K164" s="8" t="s">
        <v>23</v>
      </c>
      <c r="L164" s="5" t="s">
        <v>97</v>
      </c>
      <c r="M164" s="5" t="s">
        <v>49</v>
      </c>
      <c r="N164" s="5">
        <v>0.11</v>
      </c>
      <c r="O164" s="9">
        <f>YEAR(Table2[[#This Row],[Date of Joining]])</f>
        <v>2024</v>
      </c>
      <c r="P164" s="9" t="str">
        <f t="shared" ca="1" si="2"/>
        <v>1+ years</v>
      </c>
    </row>
    <row r="165" spans="1:16" x14ac:dyDescent="0.3">
      <c r="A165" s="3" t="s">
        <v>16</v>
      </c>
      <c r="B165" s="3"/>
      <c r="C165" s="4">
        <v>168841</v>
      </c>
      <c r="D165" s="5" t="s">
        <v>80</v>
      </c>
      <c r="E165" s="6">
        <v>45569</v>
      </c>
      <c r="F165" s="6"/>
      <c r="G165" s="7" t="s">
        <v>38</v>
      </c>
      <c r="H165" s="4" t="s">
        <v>86</v>
      </c>
      <c r="I165" s="4" t="s">
        <v>22</v>
      </c>
      <c r="J165" s="8">
        <v>29954</v>
      </c>
      <c r="K165" s="8" t="s">
        <v>28</v>
      </c>
      <c r="L165" s="5" t="s">
        <v>89</v>
      </c>
      <c r="M165" s="5" t="s">
        <v>62</v>
      </c>
      <c r="N165" s="5">
        <v>19</v>
      </c>
      <c r="O165" s="9">
        <f>YEAR(Table2[[#This Row],[Date of Joining]])</f>
        <v>2024</v>
      </c>
      <c r="P165" s="9" t="str">
        <f t="shared" ca="1" si="2"/>
        <v>1+ years</v>
      </c>
    </row>
    <row r="166" spans="1:16" x14ac:dyDescent="0.3">
      <c r="A166" s="3" t="s">
        <v>25</v>
      </c>
      <c r="B166" s="3"/>
      <c r="C166" s="4">
        <v>123680</v>
      </c>
      <c r="D166" s="5" t="s">
        <v>224</v>
      </c>
      <c r="E166" s="6">
        <v>45658</v>
      </c>
      <c r="F166" s="6"/>
      <c r="G166" s="5" t="s">
        <v>80</v>
      </c>
      <c r="H166" s="4" t="s">
        <v>86</v>
      </c>
      <c r="I166" s="4" t="s">
        <v>39</v>
      </c>
      <c r="J166" s="8">
        <v>44211</v>
      </c>
      <c r="K166" s="8" t="s">
        <v>23</v>
      </c>
      <c r="L166" s="5" t="s">
        <v>97</v>
      </c>
      <c r="M166" s="5" t="s">
        <v>24</v>
      </c>
      <c r="N166" s="5">
        <v>0</v>
      </c>
      <c r="O166" s="9">
        <f>YEAR(Table2[[#This Row],[Date of Joining]])</f>
        <v>2025</v>
      </c>
      <c r="P166" s="9" t="str">
        <f t="shared" ca="1" si="2"/>
        <v>1+ years</v>
      </c>
    </row>
    <row r="167" spans="1:16" x14ac:dyDescent="0.3">
      <c r="A167" s="3" t="s">
        <v>16</v>
      </c>
      <c r="B167" s="3"/>
      <c r="C167" s="4">
        <v>136555</v>
      </c>
      <c r="D167" s="5" t="s">
        <v>225</v>
      </c>
      <c r="E167" s="6">
        <v>45662</v>
      </c>
      <c r="F167" s="6"/>
      <c r="G167" s="5" t="s">
        <v>80</v>
      </c>
      <c r="H167" s="4" t="s">
        <v>86</v>
      </c>
      <c r="I167" s="4" t="s">
        <v>22</v>
      </c>
      <c r="J167" s="8">
        <v>44472</v>
      </c>
      <c r="K167" s="8" t="s">
        <v>28</v>
      </c>
      <c r="L167" s="5" t="s">
        <v>89</v>
      </c>
      <c r="M167" s="5" t="s">
        <v>30</v>
      </c>
      <c r="N167" s="5">
        <v>5</v>
      </c>
      <c r="O167" s="9">
        <f>YEAR(Table2[[#This Row],[Date of Joining]])</f>
        <v>2025</v>
      </c>
      <c r="P167" s="9" t="str">
        <f t="shared" ca="1" si="2"/>
        <v>1+ years</v>
      </c>
    </row>
    <row r="168" spans="1:16" x14ac:dyDescent="0.3">
      <c r="A168" s="3" t="s">
        <v>16</v>
      </c>
      <c r="B168" s="3"/>
      <c r="C168" s="4">
        <v>109886</v>
      </c>
      <c r="D168" s="5" t="s">
        <v>226</v>
      </c>
      <c r="E168" s="6">
        <v>45664</v>
      </c>
      <c r="F168" s="6"/>
      <c r="G168" s="5" t="s">
        <v>80</v>
      </c>
      <c r="H168" s="4" t="s">
        <v>86</v>
      </c>
      <c r="I168" s="4" t="s">
        <v>39</v>
      </c>
      <c r="J168" s="8">
        <v>44540</v>
      </c>
      <c r="K168" s="8" t="s">
        <v>28</v>
      </c>
      <c r="L168" s="5" t="s">
        <v>89</v>
      </c>
      <c r="M168" s="5" t="s">
        <v>24</v>
      </c>
      <c r="N168" s="5">
        <v>14</v>
      </c>
      <c r="O168" s="9">
        <f>YEAR(Table2[[#This Row],[Date of Joining]])</f>
        <v>2025</v>
      </c>
      <c r="P168" s="9" t="str">
        <f t="shared" ca="1" si="2"/>
        <v>1+ years</v>
      </c>
    </row>
    <row r="169" spans="1:16" x14ac:dyDescent="0.3">
      <c r="A169" s="3" t="s">
        <v>16</v>
      </c>
      <c r="B169" s="3"/>
      <c r="C169" s="4">
        <v>135596</v>
      </c>
      <c r="D169" s="5" t="s">
        <v>227</v>
      </c>
      <c r="E169" s="6">
        <v>45671</v>
      </c>
      <c r="F169" s="6"/>
      <c r="G169" s="5" t="s">
        <v>43</v>
      </c>
      <c r="H169" s="4" t="s">
        <v>86</v>
      </c>
      <c r="I169" s="4" t="s">
        <v>22</v>
      </c>
      <c r="J169" s="8">
        <v>44269</v>
      </c>
      <c r="K169" s="8" t="s">
        <v>23</v>
      </c>
      <c r="L169" s="5" t="s">
        <v>29</v>
      </c>
      <c r="M169" s="5" t="s">
        <v>24</v>
      </c>
      <c r="N169" s="5">
        <v>0</v>
      </c>
      <c r="O169" s="9">
        <f>YEAR(Table2[[#This Row],[Date of Joining]])</f>
        <v>2025</v>
      </c>
      <c r="P169" s="9" t="str">
        <f t="shared" ca="1" si="2"/>
        <v>1+ years</v>
      </c>
    </row>
    <row r="170" spans="1:16" x14ac:dyDescent="0.3">
      <c r="A170" s="3" t="s">
        <v>16</v>
      </c>
      <c r="B170" s="3"/>
      <c r="C170" s="4">
        <v>102045</v>
      </c>
      <c r="D170" s="5" t="s">
        <v>228</v>
      </c>
      <c r="E170" s="6">
        <v>45720</v>
      </c>
      <c r="F170" s="6"/>
      <c r="G170" s="7" t="s">
        <v>38</v>
      </c>
      <c r="H170" s="4" t="s">
        <v>86</v>
      </c>
      <c r="I170" s="4" t="s">
        <v>39</v>
      </c>
      <c r="J170" s="8">
        <v>44216</v>
      </c>
      <c r="K170" s="8" t="s">
        <v>23</v>
      </c>
      <c r="L170" s="5" t="s">
        <v>89</v>
      </c>
      <c r="M170" s="5" t="s">
        <v>30</v>
      </c>
      <c r="N170" s="5">
        <v>17</v>
      </c>
      <c r="O170" s="9">
        <f>YEAR(Table2[[#This Row],[Date of Joining]])</f>
        <v>2025</v>
      </c>
      <c r="P170" s="9" t="str">
        <f t="shared" ca="1" si="2"/>
        <v>1+ years</v>
      </c>
    </row>
    <row r="171" spans="1:16" x14ac:dyDescent="0.3">
      <c r="A171" s="3" t="s">
        <v>16</v>
      </c>
      <c r="B171" s="3"/>
      <c r="C171" s="4">
        <v>137966</v>
      </c>
      <c r="D171" s="5" t="s">
        <v>229</v>
      </c>
      <c r="E171" s="6">
        <v>45852</v>
      </c>
      <c r="F171" s="6"/>
      <c r="G171" s="7" t="s">
        <v>38</v>
      </c>
      <c r="H171" s="4" t="s">
        <v>86</v>
      </c>
      <c r="I171" s="4" t="s">
        <v>22</v>
      </c>
      <c r="J171" s="8">
        <v>44507</v>
      </c>
      <c r="K171" s="8" t="s">
        <v>28</v>
      </c>
      <c r="L171" s="5" t="s">
        <v>29</v>
      </c>
      <c r="M171" s="5" t="s">
        <v>24</v>
      </c>
      <c r="N171" s="5">
        <v>9</v>
      </c>
      <c r="O171" s="9">
        <f>YEAR(Table2[[#This Row],[Date of Joining]])</f>
        <v>2025</v>
      </c>
      <c r="P171" s="9" t="str">
        <f t="shared" ca="1" si="2"/>
        <v>&lt;1 year</v>
      </c>
    </row>
    <row r="172" spans="1:16" x14ac:dyDescent="0.3">
      <c r="A172" s="3" t="s">
        <v>16</v>
      </c>
      <c r="B172" s="3"/>
      <c r="C172" s="4">
        <v>146341</v>
      </c>
      <c r="D172" s="5" t="s">
        <v>230</v>
      </c>
      <c r="E172" s="6">
        <v>45857</v>
      </c>
      <c r="F172" s="6"/>
      <c r="G172" s="7" t="s">
        <v>38</v>
      </c>
      <c r="H172" s="4" t="s">
        <v>86</v>
      </c>
      <c r="I172" s="4" t="s">
        <v>39</v>
      </c>
      <c r="J172" s="8">
        <v>44220</v>
      </c>
      <c r="K172" s="8" t="s">
        <v>28</v>
      </c>
      <c r="L172" s="5" t="s">
        <v>29</v>
      </c>
      <c r="M172" s="5" t="s">
        <v>24</v>
      </c>
      <c r="N172" s="5">
        <v>13</v>
      </c>
      <c r="O172" s="9">
        <f>YEAR(Table2[[#This Row],[Date of Joining]])</f>
        <v>2025</v>
      </c>
      <c r="P172" s="9" t="str">
        <f t="shared" ca="1" si="2"/>
        <v>&lt;1 year</v>
      </c>
    </row>
  </sheetData>
  <conditionalFormatting sqref="A2:A172 H2:P51 C2:E172 G12 G20 G28 G52:P52 H53:P53 G54:P55 H56:P56 G57:P57 H58:P58 G59:P60 H61:P62 G63:P63 H64:P66 G67:P70 H71:P71 G72:P74 H75:P75 G76:P77 H78:P79 G80:P80 H81:P82 G83:P84 H85:P85 G86:P88 H89:P89 G90:P102 H103:P103 G104:P108 H109:P109 G110:P113 H114:P114 G115:P125 H126:P126 G127:P131 H132:P132 G133:P134 H135:P135 G136:P136 H137:P137 G138:P139 H140:P140 G141:P143 H144:P172">
    <cfRule type="containsBlanks" dxfId="43" priority="28">
      <formula>LEN(TRIM(A2))=0</formula>
    </cfRule>
  </conditionalFormatting>
  <conditionalFormatting sqref="A2:A172">
    <cfRule type="cellIs" dxfId="42" priority="21" operator="equal">
      <formula>"Open Position"</formula>
    </cfRule>
  </conditionalFormatting>
  <conditionalFormatting sqref="E46">
    <cfRule type="containsBlanks" dxfId="41" priority="26">
      <formula>LEN(TRIM(E46))=0</formula>
    </cfRule>
  </conditionalFormatting>
  <conditionalFormatting sqref="G2:G4">
    <cfRule type="containsBlanks" dxfId="40" priority="18">
      <formula>LEN(TRIM(G2))=0</formula>
    </cfRule>
  </conditionalFormatting>
  <conditionalFormatting sqref="G7">
    <cfRule type="containsBlanks" dxfId="39" priority="14">
      <formula>LEN(TRIM(G7))=0</formula>
    </cfRule>
  </conditionalFormatting>
  <conditionalFormatting sqref="G33">
    <cfRule type="containsBlanks" dxfId="38" priority="25">
      <formula>LEN(TRIM(G33))=0</formula>
    </cfRule>
  </conditionalFormatting>
  <conditionalFormatting sqref="G37:G38">
    <cfRule type="containsBlanks" dxfId="37" priority="5">
      <formula>LEN(TRIM(G37))=0</formula>
    </cfRule>
  </conditionalFormatting>
  <conditionalFormatting sqref="G46:G47">
    <cfRule type="containsBlanks" dxfId="36" priority="15">
      <formula>LEN(TRIM(G46))=0</formula>
    </cfRule>
  </conditionalFormatting>
  <conditionalFormatting sqref="G49">
    <cfRule type="containsBlanks" dxfId="35" priority="16">
      <formula>LEN(TRIM(G49))=0</formula>
    </cfRule>
  </conditionalFormatting>
  <conditionalFormatting sqref="G51">
    <cfRule type="containsBlanks" dxfId="34" priority="17">
      <formula>LEN(TRIM(G51))=0</formula>
    </cfRule>
  </conditionalFormatting>
  <conditionalFormatting sqref="G56">
    <cfRule type="containsBlanks" dxfId="33" priority="13">
      <formula>LEN(TRIM(G56))=0</formula>
    </cfRule>
  </conditionalFormatting>
  <conditionalFormatting sqref="G64">
    <cfRule type="containsBlanks" dxfId="32" priority="6">
      <formula>LEN(TRIM(G64))=0</formula>
    </cfRule>
  </conditionalFormatting>
  <conditionalFormatting sqref="G71">
    <cfRule type="containsBlanks" dxfId="31" priority="12">
      <formula>LEN(TRIM(G71))=0</formula>
    </cfRule>
  </conditionalFormatting>
  <conditionalFormatting sqref="G75">
    <cfRule type="containsBlanks" dxfId="30" priority="11">
      <formula>LEN(TRIM(G75))=0</formula>
    </cfRule>
  </conditionalFormatting>
  <conditionalFormatting sqref="G78:G79">
    <cfRule type="containsBlanks" dxfId="29" priority="4">
      <formula>LEN(TRIM(G78))=0</formula>
    </cfRule>
  </conditionalFormatting>
  <conditionalFormatting sqref="G85">
    <cfRule type="containsBlanks" dxfId="28" priority="3">
      <formula>LEN(TRIM(G85))=0</formula>
    </cfRule>
  </conditionalFormatting>
  <conditionalFormatting sqref="G132">
    <cfRule type="containsBlanks" dxfId="27" priority="8">
      <formula>LEN(TRIM(G132))=0</formula>
    </cfRule>
  </conditionalFormatting>
  <conditionalFormatting sqref="G137">
    <cfRule type="containsBlanks" dxfId="26" priority="9">
      <formula>LEN(TRIM(G137))=0</formula>
    </cfRule>
  </conditionalFormatting>
  <conditionalFormatting sqref="G140">
    <cfRule type="containsBlanks" dxfId="25" priority="2">
      <formula>LEN(TRIM(G140))=0</formula>
    </cfRule>
  </conditionalFormatting>
  <conditionalFormatting sqref="G144:G145">
    <cfRule type="containsBlanks" dxfId="24" priority="1">
      <formula>LEN(TRIM(G144))=0</formula>
    </cfRule>
  </conditionalFormatting>
  <conditionalFormatting sqref="G147 G150">
    <cfRule type="containsBlanks" dxfId="23" priority="7">
      <formula>LEN(TRIM(G147))=0</formula>
    </cfRule>
  </conditionalFormatting>
  <conditionalFormatting sqref="G156:G161">
    <cfRule type="containsBlanks" dxfId="22" priority="10">
      <formula>LEN(TRIM(G156))=0</formula>
    </cfRule>
  </conditionalFormatting>
  <conditionalFormatting sqref="G170">
    <cfRule type="containsBlanks" dxfId="21" priority="19">
      <formula>LEN(TRIM(G170))=0</formula>
    </cfRule>
  </conditionalFormatting>
  <conditionalFormatting sqref="M39 M67 M84 M97 M111 M113 M115 M122 M129 M132:M133">
    <cfRule type="containsBlanks" dxfId="20" priority="27">
      <formula>LEN(TRIM(M39))=0</formula>
    </cfRule>
  </conditionalFormatting>
  <hyperlinks>
    <hyperlink ref="D96" r:id="rId1" display="Prashantha.S@otis.com" xr:uid="{32945571-D028-4147-AEFC-1AC049F3F737}"/>
    <hyperlink ref="D13" r:id="rId2" display="Ishwarya.S@otis.com" xr:uid="{A2E5EEF4-DCF0-451D-BE90-0D9C27CABDF9}"/>
    <hyperlink ref="D124" r:id="rId3" display="vijay.patil@otis.com" xr:uid="{BB925652-F33F-4465-929F-42E3B621CE18}"/>
  </hyperlinks>
  <pageMargins left="0.7" right="0.7" top="0.75" bottom="0.75" header="0.3" footer="0.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HR Dashboard</vt:lpstr>
      <vt:lpstr>Dark Mood</vt:lpstr>
      <vt:lpstr>Pivot</vt:lpstr>
      <vt:lpstr>Emp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Prajwal Kulal</cp:lastModifiedBy>
  <dcterms:created xsi:type="dcterms:W3CDTF">2025-11-28T13:26:08Z</dcterms:created>
  <dcterms:modified xsi:type="dcterms:W3CDTF">2026-06-06T09:01:44Z</dcterms:modified>
</cp:coreProperties>
</file>